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PUBS\ES&amp;TJohnsonetal2026-InterceptionFocusing\"/>
    </mc:Choice>
  </mc:AlternateContent>
  <xr:revisionPtr revIDLastSave="0" documentId="13_ncr:1_{8EC8942F-7038-4F5F-A312-02ABFAC8CF62}" xr6:coauthVersionLast="47" xr6:coauthVersionMax="47" xr10:uidLastSave="{00000000-0000-0000-0000-000000000000}"/>
  <bookViews>
    <workbookView xWindow="4150" yWindow="300" windowWidth="19700" windowHeight="12140" xr2:uid="{00000000-000D-0000-FFFF-FFFF00000000}"/>
  </bookViews>
  <sheets>
    <sheet name="Multiexponential-et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4" l="1"/>
  <c r="G11" i="4"/>
  <c r="G12" i="4" s="1"/>
  <c r="F11" i="4"/>
  <c r="F12" i="4" s="1"/>
  <c r="E11" i="4"/>
  <c r="E12" i="4" s="1"/>
  <c r="D11" i="4"/>
  <c r="D12" i="4" s="1"/>
  <c r="D8" i="4" l="1"/>
  <c r="C16" i="4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G16" i="4" l="1"/>
  <c r="G35" i="4"/>
  <c r="G34" i="4"/>
  <c r="G33" i="4"/>
  <c r="G32" i="4"/>
  <c r="G31" i="4"/>
  <c r="G30" i="4"/>
  <c r="G27" i="4"/>
  <c r="G25" i="4"/>
  <c r="G22" i="4"/>
  <c r="G15" i="4"/>
  <c r="G28" i="4"/>
  <c r="G26" i="4"/>
  <c r="G24" i="4"/>
  <c r="G21" i="4"/>
  <c r="G17" i="4"/>
  <c r="G29" i="4"/>
  <c r="G23" i="4"/>
  <c r="G20" i="4"/>
  <c r="G19" i="4"/>
  <c r="G18" i="4"/>
  <c r="G37" i="4"/>
  <c r="G36" i="4"/>
  <c r="E15" i="4" l="1"/>
  <c r="E16" i="4"/>
  <c r="E35" i="4"/>
  <c r="E34" i="4"/>
  <c r="E17" i="4"/>
  <c r="E36" i="4"/>
  <c r="E33" i="4"/>
  <c r="E32" i="4"/>
  <c r="E27" i="4"/>
  <c r="E31" i="4"/>
  <c r="E30" i="4"/>
  <c r="E29" i="4"/>
  <c r="E25" i="4"/>
  <c r="E21" i="4"/>
  <c r="E20" i="4"/>
  <c r="E19" i="4"/>
  <c r="E18" i="4"/>
  <c r="E37" i="4"/>
  <c r="E28" i="4"/>
  <c r="E26" i="4"/>
  <c r="E24" i="4"/>
  <c r="E23" i="4"/>
  <c r="E22" i="4"/>
  <c r="B17" i="4"/>
  <c r="F32" i="4"/>
  <c r="F34" i="4"/>
  <c r="F35" i="4"/>
  <c r="F36" i="4"/>
  <c r="F17" i="4"/>
  <c r="F18" i="4"/>
  <c r="F20" i="4"/>
  <c r="F21" i="4"/>
  <c r="F23" i="4"/>
  <c r="F27" i="4"/>
  <c r="F30" i="4"/>
  <c r="F33" i="4"/>
  <c r="F16" i="4"/>
  <c r="F37" i="4"/>
  <c r="F15" i="4"/>
  <c r="F22" i="4"/>
  <c r="F25" i="4"/>
  <c r="F26" i="4"/>
  <c r="F19" i="4"/>
  <c r="F24" i="4"/>
  <c r="F28" i="4"/>
  <c r="F29" i="4"/>
  <c r="F31" i="4"/>
  <c r="B29" i="4"/>
  <c r="B32" i="4"/>
  <c r="B22" i="4"/>
  <c r="B18" i="4"/>
  <c r="B33" i="4"/>
  <c r="B28" i="4"/>
  <c r="B21" i="4"/>
  <c r="B27" i="4"/>
  <c r="B16" i="4"/>
  <c r="B36" i="4"/>
  <c r="B25" i="4"/>
  <c r="B35" i="4"/>
  <c r="B24" i="4"/>
  <c r="B31" i="4"/>
  <c r="B37" i="4"/>
  <c r="B26" i="4"/>
  <c r="B15" i="4"/>
  <c r="B30" i="4"/>
  <c r="B19" i="4"/>
  <c r="B23" i="4"/>
  <c r="B34" i="4"/>
  <c r="B20" i="4"/>
  <c r="D34" i="4" l="1"/>
  <c r="H34" i="4" s="1"/>
  <c r="D16" i="4"/>
  <c r="H16" i="4" s="1"/>
  <c r="D23" i="4"/>
  <c r="H23" i="4" s="1"/>
  <c r="D24" i="4"/>
  <c r="H24" i="4" s="1"/>
  <c r="D18" i="4"/>
  <c r="H18" i="4" s="1"/>
  <c r="D19" i="4"/>
  <c r="H19" i="4" s="1"/>
  <c r="D21" i="4"/>
  <c r="H21" i="4" s="1"/>
  <c r="D22" i="4"/>
  <c r="H22" i="4" s="1"/>
  <c r="D25" i="4"/>
  <c r="H25" i="4" s="1"/>
  <c r="D26" i="4"/>
  <c r="H26" i="4" s="1"/>
  <c r="D27" i="4"/>
  <c r="H27" i="4" s="1"/>
  <c r="D35" i="4"/>
  <c r="H35" i="4" s="1"/>
  <c r="D36" i="4"/>
  <c r="H36" i="4" s="1"/>
  <c r="D17" i="4"/>
  <c r="H17" i="4" s="1"/>
  <c r="D37" i="4"/>
  <c r="H37" i="4" s="1"/>
  <c r="H15" i="4"/>
  <c r="D20" i="4"/>
  <c r="H20" i="4" s="1"/>
  <c r="D28" i="4"/>
  <c r="H28" i="4" s="1"/>
  <c r="D29" i="4"/>
  <c r="H29" i="4" s="1"/>
  <c r="D30" i="4"/>
  <c r="H30" i="4" s="1"/>
  <c r="D31" i="4"/>
  <c r="H31" i="4" s="1"/>
  <c r="D32" i="4"/>
  <c r="H32" i="4" s="1"/>
  <c r="D33" i="4"/>
  <c r="H33" i="4" s="1"/>
</calcChain>
</file>

<file path=xl/sharedStrings.xml><?xml version="1.0" encoding="utf-8"?>
<sst xmlns="http://schemas.openxmlformats.org/spreadsheetml/2006/main" count="59" uniqueCount="48">
  <si>
    <t>alpha</t>
  </si>
  <si>
    <t>eta</t>
  </si>
  <si>
    <t>porosity</t>
  </si>
  <si>
    <t>Co #/mL</t>
  </si>
  <si>
    <t>C #/mL</t>
  </si>
  <si>
    <t>Grain dia. (m)</t>
  </si>
  <si>
    <t>vel (m/day)</t>
  </si>
  <si>
    <t>x (m)</t>
  </si>
  <si>
    <t>Int. Order</t>
  </si>
  <si>
    <t>step x</t>
  </si>
  <si>
    <t>kf (1/day)</t>
  </si>
  <si>
    <t>kf/v</t>
  </si>
  <si>
    <t>4/3*PI*Rb^3</t>
  </si>
  <si>
    <t>grain</t>
  </si>
  <si>
    <t>por</t>
  </si>
  <si>
    <t>col</t>
  </si>
  <si>
    <t>Rb*(1-por)^(1/3)</t>
  </si>
  <si>
    <t>Happel</t>
  </si>
  <si>
    <t>2D cyl</t>
  </si>
  <si>
    <t>H*PI*Rb2</t>
  </si>
  <si>
    <t>Rb^2*(1-por)</t>
  </si>
  <si>
    <t>Rb*(1-por)^(1/2)</t>
  </si>
  <si>
    <t xml:space="preserve">LnC/Co </t>
  </si>
  <si>
    <t>*-(k/v)*L</t>
  </si>
  <si>
    <t>*-kc</t>
  </si>
  <si>
    <t>*-(k/v)*dx</t>
  </si>
  <si>
    <t>*vdc/dx</t>
  </si>
  <si>
    <t>*dc/c</t>
  </si>
  <si>
    <t>Ln(C/C0)</t>
  </si>
  <si>
    <t>Nc*Ln(1-eta)</t>
  </si>
  <si>
    <t>k</t>
  </si>
  <si>
    <t>(Nc/L)*v*Ln(1-eta)</t>
  </si>
  <si>
    <t>Rb^3*(1-por)</t>
  </si>
  <si>
    <t>H*PI*Rg^2</t>
  </si>
  <si>
    <t>4/3*PI*Rg^3</t>
  </si>
  <si>
    <t>4/3*PI*(Rb^3-Rg^3)/(4/3*PI*Rb^3)</t>
  </si>
  <si>
    <t>(Rb^3-Rg^3)/Rb^3</t>
  </si>
  <si>
    <t>1-Rg^3/Rb^3</t>
  </si>
  <si>
    <t>Rg^3</t>
  </si>
  <si>
    <t>Rg</t>
  </si>
  <si>
    <t>H*PI*(Rb^2-Rg^2)/(H*PI*Rb^2)</t>
  </si>
  <si>
    <t>(Rb^2-Rg^2)/Rb^2</t>
  </si>
  <si>
    <t>1-Rg^2/Rb^3</t>
  </si>
  <si>
    <t>Rg^2</t>
  </si>
  <si>
    <t>2*Rb*(1-por)^(1/3)</t>
  </si>
  <si>
    <t>2*Rb*(1-por)^(1/2)</t>
  </si>
  <si>
    <t>Dg</t>
  </si>
  <si>
    <t>Implemented for a cylindrical 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</si>
</sst>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0" fillId="2" borderId="0" xfId="0" applyNumberFormat="1" applyFill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2" xfId="0" applyBorder="1"/>
    <xf numFmtId="1" fontId="0" fillId="0" borderId="1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1" fontId="0" fillId="0" borderId="2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C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44614047019722"/>
          <c:y val="5.5569069250959016E-2"/>
          <c:w val="0.64517006611929506"/>
          <c:h val="0.725002866949323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'Multiexponential-eta'!$D$14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1E-4</c:v>
                </c:pt>
                <c:pt idx="1">
                  <c:v>3.9999999999999996E-4</c:v>
                </c:pt>
                <c:pt idx="2">
                  <c:v>6.9999999999999988E-4</c:v>
                </c:pt>
                <c:pt idx="3">
                  <c:v>9.999999999999998E-4</c:v>
                </c:pt>
                <c:pt idx="4">
                  <c:v>1.2999999999999997E-3</c:v>
                </c:pt>
                <c:pt idx="5">
                  <c:v>1.5999999999999996E-3</c:v>
                </c:pt>
                <c:pt idx="6">
                  <c:v>1.8999999999999996E-3</c:v>
                </c:pt>
                <c:pt idx="7">
                  <c:v>2.1999999999999997E-3</c:v>
                </c:pt>
                <c:pt idx="8">
                  <c:v>2.4999999999999996E-3</c:v>
                </c:pt>
                <c:pt idx="9">
                  <c:v>2.7999999999999995E-3</c:v>
                </c:pt>
                <c:pt idx="10">
                  <c:v>3.0999999999999995E-3</c:v>
                </c:pt>
                <c:pt idx="11">
                  <c:v>3.3999999999999994E-3</c:v>
                </c:pt>
                <c:pt idx="12">
                  <c:v>3.6999999999999993E-3</c:v>
                </c:pt>
                <c:pt idx="13">
                  <c:v>3.9999999999999992E-3</c:v>
                </c:pt>
                <c:pt idx="14">
                  <c:v>4.2999999999999991E-3</c:v>
                </c:pt>
                <c:pt idx="15">
                  <c:v>4.5999999999999991E-3</c:v>
                </c:pt>
                <c:pt idx="16">
                  <c:v>4.899999999999999E-3</c:v>
                </c:pt>
                <c:pt idx="17">
                  <c:v>5.1999999999999989E-3</c:v>
                </c:pt>
                <c:pt idx="18">
                  <c:v>5.4999999999999988E-3</c:v>
                </c:pt>
                <c:pt idx="19">
                  <c:v>5.7999999999999987E-3</c:v>
                </c:pt>
                <c:pt idx="20">
                  <c:v>6.0999999999999987E-3</c:v>
                </c:pt>
                <c:pt idx="21">
                  <c:v>6.3999999999999986E-3</c:v>
                </c:pt>
                <c:pt idx="22">
                  <c:v>6.6999999999999985E-3</c:v>
                </c:pt>
              </c:numCache>
            </c:numRef>
          </c:xVal>
          <c:yVal>
            <c:numRef>
              <c:f>'Multiexponential-eta'!$D$15:$D$37</c:f>
              <c:numCache>
                <c:formatCode>0.00E+00</c:formatCode>
                <c:ptCount val="23"/>
                <c:pt idx="0">
                  <c:v>238.67167522925808</c:v>
                </c:pt>
                <c:pt idx="1">
                  <c:v>184.62201293586352</c:v>
                </c:pt>
                <c:pt idx="2">
                  <c:v>142.81245408676688</c:v>
                </c:pt>
                <c:pt idx="3">
                  <c:v>110.47110102396148</c:v>
                </c:pt>
                <c:pt idx="4">
                  <c:v>85.453780900871166</c:v>
                </c:pt>
                <c:pt idx="5">
                  <c:v>66.101890925032009</c:v>
                </c:pt>
                <c:pt idx="6">
                  <c:v>51.13243601162047</c:v>
                </c:pt>
                <c:pt idx="7">
                  <c:v>39.552968544389557</c:v>
                </c:pt>
                <c:pt idx="8">
                  <c:v>30.595790904973359</c:v>
                </c:pt>
                <c:pt idx="9">
                  <c:v>23.6670585180043</c:v>
                </c:pt>
                <c:pt idx="10">
                  <c:v>18.307409036567527</c:v>
                </c:pt>
                <c:pt idx="11">
                  <c:v>14.161507454643182</c:v>
                </c:pt>
                <c:pt idx="12">
                  <c:v>10.954488042919447</c:v>
                </c:pt>
                <c:pt idx="13">
                  <c:v>8.4737312511967122</c:v>
                </c:pt>
                <c:pt idx="14">
                  <c:v>6.5547674191784031</c:v>
                </c:pt>
                <c:pt idx="15">
                  <c:v>5.0703727373292535</c:v>
                </c:pt>
                <c:pt idx="16">
                  <c:v>3.9221345398513279</c:v>
                </c:pt>
                <c:pt idx="17">
                  <c:v>3.033926724053353</c:v>
                </c:pt>
                <c:pt idx="18">
                  <c:v>2.34686272829234</c:v>
                </c:pt>
                <c:pt idx="19">
                  <c:v>1.8153914601105949</c:v>
                </c:pt>
                <c:pt idx="20">
                  <c:v>1.4042773417090755</c:v>
                </c:pt>
                <c:pt idx="21">
                  <c:v>1.086264255268323</c:v>
                </c:pt>
                <c:pt idx="22">
                  <c:v>0.84026851194334673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0C-4DC4-89F0-FBAA7F433201}"/>
            </c:ext>
          </c:extLst>
        </c:ser>
        <c:ser>
          <c:idx val="1"/>
          <c:order val="1"/>
          <c:tx>
            <c:strRef>
              <c:f>'Multiexponential-eta'!$E$14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rgbClr val="008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00800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noFill/>
                <a:ln w="9525">
                  <a:solidFill>
                    <a:srgbClr val="008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10C-4DC4-89F0-FBAA7F433201}"/>
              </c:ext>
            </c:extLst>
          </c:dPt>
          <c:xVal>
            <c:numRef>
              <c:f>'Multiexponential-eta'!$C$15:$C$37</c:f>
              <c:numCache>
                <c:formatCode>General</c:formatCode>
                <c:ptCount val="23"/>
                <c:pt idx="0">
                  <c:v>1E-4</c:v>
                </c:pt>
                <c:pt idx="1">
                  <c:v>3.9999999999999996E-4</c:v>
                </c:pt>
                <c:pt idx="2">
                  <c:v>6.9999999999999988E-4</c:v>
                </c:pt>
                <c:pt idx="3">
                  <c:v>9.999999999999998E-4</c:v>
                </c:pt>
                <c:pt idx="4">
                  <c:v>1.2999999999999997E-3</c:v>
                </c:pt>
                <c:pt idx="5">
                  <c:v>1.5999999999999996E-3</c:v>
                </c:pt>
                <c:pt idx="6">
                  <c:v>1.8999999999999996E-3</c:v>
                </c:pt>
                <c:pt idx="7">
                  <c:v>2.1999999999999997E-3</c:v>
                </c:pt>
                <c:pt idx="8">
                  <c:v>2.4999999999999996E-3</c:v>
                </c:pt>
                <c:pt idx="9">
                  <c:v>2.7999999999999995E-3</c:v>
                </c:pt>
                <c:pt idx="10">
                  <c:v>3.0999999999999995E-3</c:v>
                </c:pt>
                <c:pt idx="11">
                  <c:v>3.3999999999999994E-3</c:v>
                </c:pt>
                <c:pt idx="12">
                  <c:v>3.6999999999999993E-3</c:v>
                </c:pt>
                <c:pt idx="13">
                  <c:v>3.9999999999999992E-3</c:v>
                </c:pt>
                <c:pt idx="14">
                  <c:v>4.2999999999999991E-3</c:v>
                </c:pt>
                <c:pt idx="15">
                  <c:v>4.5999999999999991E-3</c:v>
                </c:pt>
                <c:pt idx="16">
                  <c:v>4.899999999999999E-3</c:v>
                </c:pt>
                <c:pt idx="17">
                  <c:v>5.1999999999999989E-3</c:v>
                </c:pt>
                <c:pt idx="18">
                  <c:v>5.4999999999999988E-3</c:v>
                </c:pt>
                <c:pt idx="19">
                  <c:v>5.7999999999999987E-3</c:v>
                </c:pt>
                <c:pt idx="20">
                  <c:v>6.0999999999999987E-3</c:v>
                </c:pt>
                <c:pt idx="21">
                  <c:v>6.3999999999999986E-3</c:v>
                </c:pt>
                <c:pt idx="22">
                  <c:v>6.6999999999999985E-3</c:v>
                </c:pt>
              </c:numCache>
            </c:numRef>
          </c:xVal>
          <c:yVal>
            <c:numRef>
              <c:f>'Multiexponential-eta'!$E$15:$E$37</c:f>
              <c:numCache>
                <c:formatCode>0.00E+00</c:formatCode>
                <c:ptCount val="23"/>
                <c:pt idx="0">
                  <c:v>38.519178089215607</c:v>
                </c:pt>
                <c:pt idx="1">
                  <c:v>90.063921589465778</c:v>
                </c:pt>
                <c:pt idx="2">
                  <c:v>92.130356586598609</c:v>
                </c:pt>
                <c:pt idx="3">
                  <c:v>76.934044131086878</c:v>
                </c:pt>
                <c:pt idx="4">
                  <c:v>58.462282170030534</c:v>
                </c:pt>
                <c:pt idx="5">
                  <c:v>42.059707225940308</c:v>
                </c:pt>
                <c:pt idx="6">
                  <c:v>29.195351863544012</c:v>
                </c:pt>
                <c:pt idx="7">
                  <c:v>19.760441507709753</c:v>
                </c:pt>
                <c:pt idx="8">
                  <c:v>13.125861633970036</c:v>
                </c:pt>
                <c:pt idx="9">
                  <c:v>8.5932944797586153</c:v>
                </c:pt>
                <c:pt idx="10">
                  <c:v>5.5613113196811339</c:v>
                </c:pt>
                <c:pt idx="11">
                  <c:v>3.5654001691827339</c:v>
                </c:pt>
                <c:pt idx="12">
                  <c:v>2.2680098583081816</c:v>
                </c:pt>
                <c:pt idx="13">
                  <c:v>1.4332338455776867</c:v>
                </c:pt>
                <c:pt idx="14">
                  <c:v>0.90061540200599755</c:v>
                </c:pt>
                <c:pt idx="15">
                  <c:v>0.56317399942997282</c:v>
                </c:pt>
                <c:pt idx="16">
                  <c:v>0.35066683587148667</c:v>
                </c:pt>
                <c:pt idx="17">
                  <c:v>0.21752832135133165</c:v>
                </c:pt>
                <c:pt idx="18">
                  <c:v>0.13448969370135663</c:v>
                </c:pt>
                <c:pt idx="19">
                  <c:v>8.290260144785179E-2</c:v>
                </c:pt>
                <c:pt idx="20">
                  <c:v>5.0966387324219264E-2</c:v>
                </c:pt>
                <c:pt idx="21">
                  <c:v>3.1257039352361488E-2</c:v>
                </c:pt>
                <c:pt idx="22">
                  <c:v>1.9127425470533463E-2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0C-4DC4-89F0-FBAA7F433201}"/>
            </c:ext>
          </c:extLst>
        </c:ser>
        <c:ser>
          <c:idx val="2"/>
          <c:order val="2"/>
          <c:tx>
            <c:strRef>
              <c:f>'Multiexponential-eta'!$F$14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rgbClr val="CC00CC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CC00CC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1E-4</c:v>
                </c:pt>
                <c:pt idx="1">
                  <c:v>3.9999999999999996E-4</c:v>
                </c:pt>
                <c:pt idx="2">
                  <c:v>6.9999999999999988E-4</c:v>
                </c:pt>
                <c:pt idx="3">
                  <c:v>9.999999999999998E-4</c:v>
                </c:pt>
                <c:pt idx="4">
                  <c:v>1.2999999999999997E-3</c:v>
                </c:pt>
                <c:pt idx="5">
                  <c:v>1.5999999999999996E-3</c:v>
                </c:pt>
                <c:pt idx="6">
                  <c:v>1.8999999999999996E-3</c:v>
                </c:pt>
                <c:pt idx="7">
                  <c:v>2.1999999999999997E-3</c:v>
                </c:pt>
                <c:pt idx="8">
                  <c:v>2.4999999999999996E-3</c:v>
                </c:pt>
                <c:pt idx="9">
                  <c:v>2.7999999999999995E-3</c:v>
                </c:pt>
                <c:pt idx="10">
                  <c:v>3.0999999999999995E-3</c:v>
                </c:pt>
                <c:pt idx="11">
                  <c:v>3.3999999999999994E-3</c:v>
                </c:pt>
                <c:pt idx="12">
                  <c:v>3.6999999999999993E-3</c:v>
                </c:pt>
                <c:pt idx="13">
                  <c:v>3.9999999999999992E-3</c:v>
                </c:pt>
                <c:pt idx="14">
                  <c:v>4.2999999999999991E-3</c:v>
                </c:pt>
                <c:pt idx="15">
                  <c:v>4.5999999999999991E-3</c:v>
                </c:pt>
                <c:pt idx="16">
                  <c:v>4.899999999999999E-3</c:v>
                </c:pt>
                <c:pt idx="17">
                  <c:v>5.1999999999999989E-3</c:v>
                </c:pt>
                <c:pt idx="18">
                  <c:v>5.4999999999999988E-3</c:v>
                </c:pt>
                <c:pt idx="19">
                  <c:v>5.7999999999999987E-3</c:v>
                </c:pt>
                <c:pt idx="20">
                  <c:v>6.0999999999999987E-3</c:v>
                </c:pt>
                <c:pt idx="21">
                  <c:v>6.3999999999999986E-3</c:v>
                </c:pt>
                <c:pt idx="22">
                  <c:v>6.6999999999999985E-3</c:v>
                </c:pt>
              </c:numCache>
            </c:numRef>
          </c:xVal>
          <c:yVal>
            <c:numRef>
              <c:f>'Multiexponential-eta'!$F$15:$F$37</c:f>
              <c:numCache>
                <c:formatCode>0.00E+00</c:formatCode>
                <c:ptCount val="23"/>
                <c:pt idx="0">
                  <c:v>3.4125529316178582</c:v>
                </c:pt>
                <c:pt idx="1">
                  <c:v>31.916350752996152</c:v>
                </c:pt>
                <c:pt idx="2">
                  <c:v>57.135124330192752</c:v>
                </c:pt>
                <c:pt idx="3">
                  <c:v>68.158644826916259</c:v>
                </c:pt>
                <c:pt idx="4">
                  <c:v>67.331997980388891</c:v>
                </c:pt>
                <c:pt idx="5">
                  <c:v>59.619538865314013</c:v>
                </c:pt>
                <c:pt idx="6">
                  <c:v>49.143909141962595</c:v>
                </c:pt>
                <c:pt idx="7">
                  <c:v>38.514273427700985</c:v>
                </c:pt>
                <c:pt idx="8">
                  <c:v>29.071685729683079</c:v>
                </c:pt>
                <c:pt idx="9">
                  <c:v>21.316706748897392</c:v>
                </c:pt>
                <c:pt idx="10">
                  <c:v>15.273595540213686</c:v>
                </c:pt>
                <c:pt idx="11">
                  <c:v>10.739636506076495</c:v>
                </c:pt>
                <c:pt idx="12">
                  <c:v>7.4344534532984801</c:v>
                </c:pt>
                <c:pt idx="13">
                  <c:v>5.0790142511264245</c:v>
                </c:pt>
                <c:pt idx="14">
                  <c:v>3.4309169863403222</c:v>
                </c:pt>
                <c:pt idx="15">
                  <c:v>2.2951063390413795</c:v>
                </c:pt>
                <c:pt idx="16">
                  <c:v>1.5222751550963756</c:v>
                </c:pt>
                <c:pt idx="17">
                  <c:v>1.0021241696523118</c:v>
                </c:pt>
                <c:pt idx="18">
                  <c:v>0.65532098996888044</c:v>
                </c:pt>
                <c:pt idx="19">
                  <c:v>0.42598914928435649</c:v>
                </c:pt>
                <c:pt idx="20">
                  <c:v>0.27543306190330558</c:v>
                </c:pt>
                <c:pt idx="21">
                  <c:v>0.17722712737604923</c:v>
                </c:pt>
                <c:pt idx="22">
                  <c:v>0.11353603040915035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0C-4DC4-89F0-FBAA7F433201}"/>
            </c:ext>
          </c:extLst>
        </c:ser>
        <c:ser>
          <c:idx val="3"/>
          <c:order val="3"/>
          <c:tx>
            <c:strRef>
              <c:f>'Multiexponential-eta'!$G$14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1E-4</c:v>
                </c:pt>
                <c:pt idx="1">
                  <c:v>3.9999999999999996E-4</c:v>
                </c:pt>
                <c:pt idx="2">
                  <c:v>6.9999999999999988E-4</c:v>
                </c:pt>
                <c:pt idx="3">
                  <c:v>9.999999999999998E-4</c:v>
                </c:pt>
                <c:pt idx="4">
                  <c:v>1.2999999999999997E-3</c:v>
                </c:pt>
                <c:pt idx="5">
                  <c:v>1.5999999999999996E-3</c:v>
                </c:pt>
                <c:pt idx="6">
                  <c:v>1.8999999999999996E-3</c:v>
                </c:pt>
                <c:pt idx="7">
                  <c:v>2.1999999999999997E-3</c:v>
                </c:pt>
                <c:pt idx="8">
                  <c:v>2.4999999999999996E-3</c:v>
                </c:pt>
                <c:pt idx="9">
                  <c:v>2.7999999999999995E-3</c:v>
                </c:pt>
                <c:pt idx="10">
                  <c:v>3.0999999999999995E-3</c:v>
                </c:pt>
                <c:pt idx="11">
                  <c:v>3.3999999999999994E-3</c:v>
                </c:pt>
                <c:pt idx="12">
                  <c:v>3.6999999999999993E-3</c:v>
                </c:pt>
                <c:pt idx="13">
                  <c:v>3.9999999999999992E-3</c:v>
                </c:pt>
                <c:pt idx="14">
                  <c:v>4.2999999999999991E-3</c:v>
                </c:pt>
                <c:pt idx="15">
                  <c:v>4.5999999999999991E-3</c:v>
                </c:pt>
                <c:pt idx="16">
                  <c:v>4.899999999999999E-3</c:v>
                </c:pt>
                <c:pt idx="17">
                  <c:v>5.1999999999999989E-3</c:v>
                </c:pt>
                <c:pt idx="18">
                  <c:v>5.4999999999999988E-3</c:v>
                </c:pt>
                <c:pt idx="19">
                  <c:v>5.7999999999999987E-3</c:v>
                </c:pt>
                <c:pt idx="20">
                  <c:v>6.0999999999999987E-3</c:v>
                </c:pt>
                <c:pt idx="21">
                  <c:v>6.3999999999999986E-3</c:v>
                </c:pt>
                <c:pt idx="22">
                  <c:v>6.6999999999999985E-3</c:v>
                </c:pt>
              </c:numCache>
            </c:numRef>
          </c:xVal>
          <c:yVal>
            <c:numRef>
              <c:f>'Multiexponential-eta'!$G$15:$G$37</c:f>
              <c:numCache>
                <c:formatCode>0.00E+00</c:formatCode>
                <c:ptCount val="23"/>
                <c:pt idx="0">
                  <c:v>0.20155358254912312</c:v>
                </c:pt>
                <c:pt idx="1">
                  <c:v>7.5402257079259716</c:v>
                </c:pt>
                <c:pt idx="2">
                  <c:v>23.621764878753911</c:v>
                </c:pt>
                <c:pt idx="3">
                  <c:v>40.25613469399098</c:v>
                </c:pt>
                <c:pt idx="4">
                  <c:v>51.698266343710507</c:v>
                </c:pt>
                <c:pt idx="5">
                  <c:v>56.340373387421948</c:v>
                </c:pt>
                <c:pt idx="6">
                  <c:v>55.148591621513525</c:v>
                </c:pt>
                <c:pt idx="7">
                  <c:v>50.044403346115161</c:v>
                </c:pt>
                <c:pt idx="8">
                  <c:v>42.926091748428277</c:v>
                </c:pt>
                <c:pt idx="9">
                  <c:v>35.252446946769574</c:v>
                </c:pt>
                <c:pt idx="10">
                  <c:v>27.964953745167072</c:v>
                </c:pt>
                <c:pt idx="11">
                  <c:v>21.566497786060914</c:v>
                </c:pt>
                <c:pt idx="12">
                  <c:v>16.246577867020708</c:v>
                </c:pt>
                <c:pt idx="13">
                  <c:v>11.999151821475301</c:v>
                </c:pt>
                <c:pt idx="14">
                  <c:v>8.713442934642126</c:v>
                </c:pt>
                <c:pt idx="15">
                  <c:v>6.23550698107457</c:v>
                </c:pt>
                <c:pt idx="16">
                  <c:v>4.4055523377617085</c:v>
                </c:pt>
                <c:pt idx="17">
                  <c:v>3.0777688936095169</c:v>
                </c:pt>
                <c:pt idx="18">
                  <c:v>2.1287658460402481</c:v>
                </c:pt>
                <c:pt idx="19">
                  <c:v>1.4592767266550157</c:v>
                </c:pt>
                <c:pt idx="20">
                  <c:v>0.99233207835365944</c:v>
                </c:pt>
                <c:pt idx="21">
                  <c:v>0.66991746134125096</c:v>
                </c:pt>
                <c:pt idx="22">
                  <c:v>0.44928263593465884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0C-4DC4-89F0-FBAA7F433201}"/>
            </c:ext>
          </c:extLst>
        </c:ser>
        <c:ser>
          <c:idx val="4"/>
          <c:order val="4"/>
          <c:tx>
            <c:v>Total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'Multiexponential-eta'!$C$15:$C$37</c:f>
              <c:numCache>
                <c:formatCode>General</c:formatCode>
                <c:ptCount val="23"/>
                <c:pt idx="0">
                  <c:v>1E-4</c:v>
                </c:pt>
                <c:pt idx="1">
                  <c:v>3.9999999999999996E-4</c:v>
                </c:pt>
                <c:pt idx="2">
                  <c:v>6.9999999999999988E-4</c:v>
                </c:pt>
                <c:pt idx="3">
                  <c:v>9.999999999999998E-4</c:v>
                </c:pt>
                <c:pt idx="4">
                  <c:v>1.2999999999999997E-3</c:v>
                </c:pt>
                <c:pt idx="5">
                  <c:v>1.5999999999999996E-3</c:v>
                </c:pt>
                <c:pt idx="6">
                  <c:v>1.8999999999999996E-3</c:v>
                </c:pt>
                <c:pt idx="7">
                  <c:v>2.1999999999999997E-3</c:v>
                </c:pt>
                <c:pt idx="8">
                  <c:v>2.4999999999999996E-3</c:v>
                </c:pt>
                <c:pt idx="9">
                  <c:v>2.7999999999999995E-3</c:v>
                </c:pt>
                <c:pt idx="10">
                  <c:v>3.0999999999999995E-3</c:v>
                </c:pt>
                <c:pt idx="11">
                  <c:v>3.3999999999999994E-3</c:v>
                </c:pt>
                <c:pt idx="12">
                  <c:v>3.6999999999999993E-3</c:v>
                </c:pt>
                <c:pt idx="13">
                  <c:v>3.9999999999999992E-3</c:v>
                </c:pt>
                <c:pt idx="14">
                  <c:v>4.2999999999999991E-3</c:v>
                </c:pt>
                <c:pt idx="15">
                  <c:v>4.5999999999999991E-3</c:v>
                </c:pt>
                <c:pt idx="16">
                  <c:v>4.899999999999999E-3</c:v>
                </c:pt>
                <c:pt idx="17">
                  <c:v>5.1999999999999989E-3</c:v>
                </c:pt>
                <c:pt idx="18">
                  <c:v>5.4999999999999988E-3</c:v>
                </c:pt>
                <c:pt idx="19">
                  <c:v>5.7999999999999987E-3</c:v>
                </c:pt>
                <c:pt idx="20">
                  <c:v>6.0999999999999987E-3</c:v>
                </c:pt>
                <c:pt idx="21">
                  <c:v>6.3999999999999986E-3</c:v>
                </c:pt>
                <c:pt idx="22">
                  <c:v>6.6999999999999985E-3</c:v>
                </c:pt>
              </c:numCache>
            </c:numRef>
          </c:xVal>
          <c:yVal>
            <c:numRef>
              <c:f>'Multiexponential-eta'!$H$15:$H$37</c:f>
              <c:numCache>
                <c:formatCode>0.00E+00</c:formatCode>
                <c:ptCount val="23"/>
                <c:pt idx="0">
                  <c:v>280.80495983264069</c:v>
                </c:pt>
                <c:pt idx="1">
                  <c:v>314.14251098625141</c:v>
                </c:pt>
                <c:pt idx="2">
                  <c:v>315.69969988231219</c:v>
                </c:pt>
                <c:pt idx="3">
                  <c:v>295.81992467595558</c:v>
                </c:pt>
                <c:pt idx="4">
                  <c:v>262.94632739500111</c:v>
                </c:pt>
                <c:pt idx="5">
                  <c:v>224.12151040370827</c:v>
                </c:pt>
                <c:pt idx="6">
                  <c:v>184.62028863864063</c:v>
                </c:pt>
                <c:pt idx="7">
                  <c:v>147.87208682591546</c:v>
                </c:pt>
                <c:pt idx="8">
                  <c:v>115.71943001705475</c:v>
                </c:pt>
                <c:pt idx="9">
                  <c:v>88.829506693429892</c:v>
                </c:pt>
                <c:pt idx="10">
                  <c:v>67.107269641629415</c:v>
                </c:pt>
                <c:pt idx="11">
                  <c:v>50.033041915963324</c:v>
                </c:pt>
                <c:pt idx="12">
                  <c:v>36.903529221546819</c:v>
                </c:pt>
                <c:pt idx="13">
                  <c:v>26.985131169376125</c:v>
                </c:pt>
                <c:pt idx="14">
                  <c:v>19.599742742166846</c:v>
                </c:pt>
                <c:pt idx="15">
                  <c:v>14.164160056875176</c:v>
                </c:pt>
                <c:pt idx="16">
                  <c:v>10.2006288685809</c:v>
                </c:pt>
                <c:pt idx="17">
                  <c:v>7.3313481086665133</c:v>
                </c:pt>
                <c:pt idx="18">
                  <c:v>5.2654392580028251</c:v>
                </c:pt>
                <c:pt idx="19">
                  <c:v>3.7835599374978188</c:v>
                </c:pt>
                <c:pt idx="20">
                  <c:v>2.7230088692902599</c:v>
                </c:pt>
                <c:pt idx="21">
                  <c:v>1.9646658833379846</c:v>
                </c:pt>
                <c:pt idx="22">
                  <c:v>1.4222146037576895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0C-4DC4-89F0-FBAA7F433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5589856"/>
        <c:axId val="1515591936"/>
      </c:scatterChart>
      <c:valAx>
        <c:axId val="1515589856"/>
        <c:scaling>
          <c:orientation val="minMax"/>
          <c:max val="6.0000000000000019E-3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layout>
            <c:manualLayout>
              <c:xMode val="edge"/>
              <c:yMode val="edge"/>
              <c:x val="0.47389739238962009"/>
              <c:y val="0.889193943064809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91936"/>
        <c:crossesAt val="1.0000000000000002E-3"/>
        <c:crossBetween val="midCat"/>
        <c:majorUnit val="2.0000000000000005E-3"/>
      </c:valAx>
      <c:valAx>
        <c:axId val="1515591936"/>
        <c:scaling>
          <c:logBase val="10"/>
          <c:orientation val="minMax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att</a:t>
                </a:r>
                <a:r>
                  <a:rPr lang="en-US"/>
                  <a:t> (#/mL)</a:t>
                </a:r>
              </a:p>
            </c:rich>
          </c:tx>
          <c:layout>
            <c:manualLayout>
              <c:xMode val="edge"/>
              <c:yMode val="edge"/>
              <c:x val="0"/>
              <c:y val="0.21483965273571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5589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204752599143413"/>
          <c:y val="3.8177940551299479E-2"/>
          <c:w val="0.22115032148140876"/>
          <c:h val="0.357133683980227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120649</xdr:colOff>
      <xdr:row>14</xdr:row>
      <xdr:rowOff>161924</xdr:rowOff>
    </xdr:from>
    <xdr:to>
      <xdr:col>13</xdr:col>
      <xdr:colOff>441324</xdr:colOff>
      <xdr:row>29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626FE2-2535-418E-BAFA-8AB224F00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13</xdr:col>
      <xdr:colOff>419100</xdr:colOff>
      <xdr:row>5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17CC41-730B-4643-B49A-3C5D2A171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050" y="184150"/>
          <a:ext cx="3663950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0</xdr:colOff>
      <xdr:row>6</xdr:row>
      <xdr:rowOff>0</xdr:rowOff>
    </xdr:from>
    <xdr:to>
      <xdr:col>10</xdr:col>
      <xdr:colOff>539750</xdr:colOff>
      <xdr:row>8</xdr:row>
      <xdr:rowOff>31750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AE8531-3BB0-465A-A296-80BD9B8BE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6050" y="1104900"/>
          <a:ext cx="18415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AEADB-FEDA-4B1E-B9AC-DABE126940C6}">
  <dimension ref="B1:S37"/>
  <sheetViews>
    <sheetView tabSelected="1" zoomScale="102" workbookViewId="0">
      <selection activeCell="J12" sqref="J12"/>
    </sheetView>
  </sheetViews>
  <sheetFormatPr defaultRowHeight="14.5" x14ac:dyDescent="0.35"/>
  <cols>
    <col min="3" max="3" width="12.90625" customWidth="1"/>
    <col min="5" max="5" width="9.54296875" customWidth="1"/>
    <col min="10" max="10" width="9.90625" customWidth="1"/>
    <col min="11" max="12" width="9.36328125" customWidth="1"/>
    <col min="13" max="13" width="9.08984375" customWidth="1"/>
    <col min="15" max="15" width="8.453125" customWidth="1"/>
    <col min="16" max="16" width="29" customWidth="1"/>
    <col min="17" max="17" width="1.36328125" customWidth="1"/>
    <col min="18" max="18" width="5.7265625" customWidth="1"/>
    <col min="19" max="19" width="25.26953125" customWidth="1"/>
  </cols>
  <sheetData>
    <row r="1" spans="2:19" x14ac:dyDescent="0.35">
      <c r="B1" t="s">
        <v>47</v>
      </c>
    </row>
    <row r="2" spans="2:19" x14ac:dyDescent="0.35">
      <c r="O2" s="13" t="s">
        <v>17</v>
      </c>
      <c r="P2" s="13"/>
      <c r="R2" s="13" t="s">
        <v>18</v>
      </c>
      <c r="S2" s="13"/>
    </row>
    <row r="3" spans="2:19" x14ac:dyDescent="0.35">
      <c r="O3" t="s">
        <v>15</v>
      </c>
      <c r="P3" t="s">
        <v>12</v>
      </c>
      <c r="R3" t="s">
        <v>15</v>
      </c>
      <c r="S3" t="s">
        <v>19</v>
      </c>
    </row>
    <row r="4" spans="2:19" x14ac:dyDescent="0.35">
      <c r="O4" t="s">
        <v>13</v>
      </c>
      <c r="P4" t="s">
        <v>34</v>
      </c>
      <c r="R4" t="s">
        <v>13</v>
      </c>
      <c r="S4" t="s">
        <v>33</v>
      </c>
    </row>
    <row r="5" spans="2:19" x14ac:dyDescent="0.35">
      <c r="O5" t="s">
        <v>14</v>
      </c>
      <c r="P5" t="s">
        <v>35</v>
      </c>
      <c r="R5" t="s">
        <v>14</v>
      </c>
      <c r="S5" t="s">
        <v>40</v>
      </c>
    </row>
    <row r="6" spans="2:19" x14ac:dyDescent="0.35">
      <c r="F6" s="2"/>
      <c r="G6" s="2"/>
      <c r="O6" t="s">
        <v>14</v>
      </c>
      <c r="P6" t="s">
        <v>36</v>
      </c>
      <c r="R6" t="s">
        <v>14</v>
      </c>
      <c r="S6" t="s">
        <v>41</v>
      </c>
    </row>
    <row r="7" spans="2:19" x14ac:dyDescent="0.35">
      <c r="C7" s="2" t="s">
        <v>3</v>
      </c>
      <c r="D7" s="2" t="s">
        <v>5</v>
      </c>
      <c r="E7" s="2" t="s">
        <v>2</v>
      </c>
      <c r="F7" s="2" t="s">
        <v>6</v>
      </c>
      <c r="O7" t="s">
        <v>14</v>
      </c>
      <c r="P7" t="s">
        <v>37</v>
      </c>
      <c r="R7" t="s">
        <v>14</v>
      </c>
      <c r="S7" t="s">
        <v>42</v>
      </c>
    </row>
    <row r="8" spans="2:19" x14ac:dyDescent="0.35">
      <c r="B8" s="3"/>
      <c r="C8" s="3">
        <v>26000</v>
      </c>
      <c r="D8" s="3">
        <f>0.0001</f>
        <v>1E-4</v>
      </c>
      <c r="E8" s="3">
        <v>0.35</v>
      </c>
      <c r="F8" s="3">
        <v>4</v>
      </c>
      <c r="O8" t="s">
        <v>38</v>
      </c>
      <c r="P8" t="s">
        <v>32</v>
      </c>
      <c r="R8" t="s">
        <v>43</v>
      </c>
      <c r="S8" t="s">
        <v>20</v>
      </c>
    </row>
    <row r="9" spans="2:19" x14ac:dyDescent="0.35">
      <c r="C9" s="10" t="s">
        <v>9</v>
      </c>
      <c r="D9" s="5">
        <v>0.01</v>
      </c>
      <c r="E9" s="5">
        <v>0.01</v>
      </c>
      <c r="F9" s="5">
        <v>0.01</v>
      </c>
      <c r="G9" s="5">
        <v>0.01</v>
      </c>
      <c r="H9" s="6" t="s">
        <v>0</v>
      </c>
      <c r="O9" t="s">
        <v>39</v>
      </c>
      <c r="P9" t="s">
        <v>16</v>
      </c>
      <c r="R9" t="s">
        <v>43</v>
      </c>
      <c r="S9" t="s">
        <v>21</v>
      </c>
    </row>
    <row r="10" spans="2:19" x14ac:dyDescent="0.35">
      <c r="C10" s="11">
        <v>2.9999999999999997E-4</v>
      </c>
      <c r="D10" s="5">
        <v>0.08</v>
      </c>
      <c r="E10" s="5">
        <v>0.16</v>
      </c>
      <c r="F10" s="5">
        <v>0.16</v>
      </c>
      <c r="G10" s="5">
        <v>0.16</v>
      </c>
      <c r="H10" s="6" t="s">
        <v>1</v>
      </c>
      <c r="O10" t="s">
        <v>46</v>
      </c>
      <c r="P10" t="s">
        <v>44</v>
      </c>
      <c r="R10" t="s">
        <v>46</v>
      </c>
      <c r="S10" t="s">
        <v>45</v>
      </c>
    </row>
    <row r="11" spans="2:19" x14ac:dyDescent="0.35">
      <c r="C11" s="2"/>
      <c r="D11" s="4">
        <f>-(4*(1-$E8)^(1/2)/(PI()*$D8))*$F8*LN(1-D10)</f>
        <v>3423.7106938294519</v>
      </c>
      <c r="E11" s="4">
        <f>-(4*(1-$E8)^(1/2)/(PI()*$D8))*$F8*LN(1-E10)</f>
        <v>7159.0793661621583</v>
      </c>
      <c r="F11" s="4">
        <f>-(4*(1-$E8)^(1/2)/(PI()*$D8))*$F8*LN(1-F10)</f>
        <v>7159.0793661621583</v>
      </c>
      <c r="G11" s="4">
        <f>-(4*(1-$E8)^(1/2)/(PI()*$D8))*$F8*LN(1-G10)</f>
        <v>7159.0793661621583</v>
      </c>
      <c r="H11" s="6" t="s">
        <v>10</v>
      </c>
    </row>
    <row r="12" spans="2:19" x14ac:dyDescent="0.35">
      <c r="C12" s="2"/>
      <c r="D12" s="4">
        <f>D$11/$F$8</f>
        <v>855.92767345736297</v>
      </c>
      <c r="E12" s="4">
        <f>E$11/$F$8</f>
        <v>1789.7698415405396</v>
      </c>
      <c r="F12" s="4">
        <f>F$11/$F$8</f>
        <v>1789.7698415405396</v>
      </c>
      <c r="G12" s="4">
        <f>G$11/$F$8</f>
        <v>1789.7698415405396</v>
      </c>
      <c r="H12" s="2" t="s">
        <v>11</v>
      </c>
    </row>
    <row r="13" spans="2:19" x14ac:dyDescent="0.35">
      <c r="C13" s="2"/>
      <c r="D13" s="12" t="s">
        <v>4</v>
      </c>
      <c r="E13" s="12"/>
      <c r="F13" s="12"/>
      <c r="G13" s="12"/>
    </row>
    <row r="14" spans="2:19" x14ac:dyDescent="0.35">
      <c r="C14" s="2" t="s">
        <v>7</v>
      </c>
      <c r="D14" s="7">
        <v>1</v>
      </c>
      <c r="E14" s="8">
        <v>2</v>
      </c>
      <c r="F14" s="8">
        <v>3</v>
      </c>
      <c r="G14" s="8">
        <v>4</v>
      </c>
      <c r="H14" s="9" t="s">
        <v>8</v>
      </c>
      <c r="O14" t="s">
        <v>22</v>
      </c>
      <c r="P14" t="s">
        <v>23</v>
      </c>
    </row>
    <row r="15" spans="2:19" x14ac:dyDescent="0.35">
      <c r="B15" s="3">
        <f t="shared" ref="B15:B37" si="0">(D$11/F$8)*C15</f>
        <v>8.5592767345736301E-2</v>
      </c>
      <c r="C15" s="2">
        <v>1E-4</v>
      </c>
      <c r="D15" s="3">
        <f>$C$8*EXP(-D$12*$C15)*((D$12*$C15)^(D$14-1))/(FACT(D$14-1))*$D$9</f>
        <v>238.67167522925808</v>
      </c>
      <c r="E15" s="3">
        <f t="shared" ref="E15:E37" si="1">$C$8*EXP(-E$12*$C15)*((E$12*$C15)^(E$14-1))/(FACT(E$14-1))*E$9*(1-$D$9)</f>
        <v>38.519178089215607</v>
      </c>
      <c r="F15" s="3">
        <f t="shared" ref="F15:F37" si="2">$C$8*EXP(-F$12*$C15)*((F$12*$C15)^(F$14-1))/(FACT(F$14-1))*F$9*(1-$D$9)*(1-$E$9)</f>
        <v>3.4125529316178582</v>
      </c>
      <c r="G15" s="3">
        <f t="shared" ref="G15:G37" si="3">$C$8*EXP(-G$12*$C15)*((G$12*$C15)^(G$14-1))/(FACT(G$14-1))*G$9*(1-$D$9)*(1-$E$9)*(1-$F$9)</f>
        <v>0.20155358254912312</v>
      </c>
      <c r="H15" s="1">
        <f>SUM(D15:G15)</f>
        <v>280.80495983264069</v>
      </c>
      <c r="O15" t="s">
        <v>26</v>
      </c>
      <c r="P15" t="s">
        <v>24</v>
      </c>
    </row>
    <row r="16" spans="2:19" x14ac:dyDescent="0.35">
      <c r="B16" s="3">
        <f t="shared" si="0"/>
        <v>0.34237106938294515</v>
      </c>
      <c r="C16" s="2">
        <f t="shared" ref="C16:C37" si="4">C15+C$10</f>
        <v>3.9999999999999996E-4</v>
      </c>
      <c r="D16" s="3">
        <f t="shared" ref="D15:D37" si="5">$C$8*EXP(-D$12*$C16)*((D$12*$C16)^(D$14-1))/(FACT(D$14-1))*$D$9</f>
        <v>184.62201293586352</v>
      </c>
      <c r="E16" s="3">
        <f t="shared" si="1"/>
        <v>90.063921589465778</v>
      </c>
      <c r="F16" s="3">
        <f t="shared" si="2"/>
        <v>31.916350752996152</v>
      </c>
      <c r="G16" s="3">
        <f t="shared" si="3"/>
        <v>7.5402257079259716</v>
      </c>
      <c r="H16" s="1">
        <f t="shared" ref="H16:H37" si="6">SUM(D16:G16)</f>
        <v>314.14251098625141</v>
      </c>
      <c r="O16" t="s">
        <v>27</v>
      </c>
      <c r="P16" t="s">
        <v>25</v>
      </c>
    </row>
    <row r="17" spans="2:16" x14ac:dyDescent="0.35">
      <c r="B17" s="3">
        <f t="shared" si="0"/>
        <v>0.59914937142015401</v>
      </c>
      <c r="C17" s="2">
        <f t="shared" si="4"/>
        <v>6.9999999999999988E-4</v>
      </c>
      <c r="D17" s="3">
        <f t="shared" si="5"/>
        <v>142.81245408676688</v>
      </c>
      <c r="E17" s="3">
        <f t="shared" si="1"/>
        <v>92.130356586598609</v>
      </c>
      <c r="F17" s="3">
        <f t="shared" si="2"/>
        <v>57.135124330192752</v>
      </c>
      <c r="G17" s="3">
        <f t="shared" si="3"/>
        <v>23.621764878753911</v>
      </c>
      <c r="H17" s="1">
        <f t="shared" si="6"/>
        <v>315.69969988231219</v>
      </c>
      <c r="O17" t="s">
        <v>28</v>
      </c>
      <c r="P17" t="s">
        <v>23</v>
      </c>
    </row>
    <row r="18" spans="2:16" x14ac:dyDescent="0.35">
      <c r="B18" s="3">
        <f t="shared" si="0"/>
        <v>0.85592767345736276</v>
      </c>
      <c r="C18" s="2">
        <f t="shared" si="4"/>
        <v>9.999999999999998E-4</v>
      </c>
      <c r="D18" s="3">
        <f t="shared" si="5"/>
        <v>110.47110102396148</v>
      </c>
      <c r="E18" s="3">
        <f t="shared" si="1"/>
        <v>76.934044131086878</v>
      </c>
      <c r="F18" s="3">
        <f t="shared" si="2"/>
        <v>68.158644826916259</v>
      </c>
      <c r="G18" s="3">
        <f t="shared" si="3"/>
        <v>40.25613469399098</v>
      </c>
      <c r="H18" s="1">
        <f t="shared" si="6"/>
        <v>295.81992467595558</v>
      </c>
      <c r="O18" t="s">
        <v>28</v>
      </c>
      <c r="P18" t="s">
        <v>29</v>
      </c>
    </row>
    <row r="19" spans="2:16" x14ac:dyDescent="0.35">
      <c r="B19" s="3">
        <f t="shared" si="0"/>
        <v>1.1127059754945716</v>
      </c>
      <c r="C19" s="2">
        <f t="shared" si="4"/>
        <v>1.2999999999999997E-3</v>
      </c>
      <c r="D19" s="3">
        <f t="shared" si="5"/>
        <v>85.453780900871166</v>
      </c>
      <c r="E19" s="3">
        <f t="shared" si="1"/>
        <v>58.462282170030534</v>
      </c>
      <c r="F19" s="3">
        <f t="shared" si="2"/>
        <v>67.331997980388891</v>
      </c>
      <c r="G19" s="3">
        <f t="shared" si="3"/>
        <v>51.698266343710507</v>
      </c>
      <c r="H19" s="1">
        <f t="shared" si="6"/>
        <v>262.94632739500111</v>
      </c>
      <c r="O19" t="s">
        <v>30</v>
      </c>
      <c r="P19" t="s">
        <v>31</v>
      </c>
    </row>
    <row r="20" spans="2:16" x14ac:dyDescent="0.35">
      <c r="B20" s="3">
        <f t="shared" si="0"/>
        <v>1.3694842775317804</v>
      </c>
      <c r="C20" s="2">
        <f t="shared" si="4"/>
        <v>1.5999999999999996E-3</v>
      </c>
      <c r="D20" s="3">
        <f t="shared" si="5"/>
        <v>66.101890925032009</v>
      </c>
      <c r="E20" s="3">
        <f t="shared" si="1"/>
        <v>42.059707225940308</v>
      </c>
      <c r="F20" s="3">
        <f t="shared" si="2"/>
        <v>59.619538865314013</v>
      </c>
      <c r="G20" s="3">
        <f t="shared" si="3"/>
        <v>56.340373387421948</v>
      </c>
      <c r="H20" s="1">
        <f t="shared" si="6"/>
        <v>224.12151040370827</v>
      </c>
    </row>
    <row r="21" spans="2:16" x14ac:dyDescent="0.35">
      <c r="B21" s="3">
        <f t="shared" si="0"/>
        <v>1.6262625795689893</v>
      </c>
      <c r="C21" s="2">
        <f t="shared" si="4"/>
        <v>1.8999999999999996E-3</v>
      </c>
      <c r="D21" s="3">
        <f t="shared" si="5"/>
        <v>51.13243601162047</v>
      </c>
      <c r="E21" s="3">
        <f t="shared" si="1"/>
        <v>29.195351863544012</v>
      </c>
      <c r="F21" s="3">
        <f t="shared" si="2"/>
        <v>49.143909141962595</v>
      </c>
      <c r="G21" s="3">
        <f t="shared" si="3"/>
        <v>55.148591621513525</v>
      </c>
      <c r="H21" s="1">
        <f t="shared" si="6"/>
        <v>184.62028863864063</v>
      </c>
    </row>
    <row r="22" spans="2:16" x14ac:dyDescent="0.35">
      <c r="B22" s="3">
        <f t="shared" si="0"/>
        <v>1.8830408816061983</v>
      </c>
      <c r="C22" s="2">
        <f t="shared" si="4"/>
        <v>2.1999999999999997E-3</v>
      </c>
      <c r="D22" s="3">
        <f t="shared" si="5"/>
        <v>39.552968544389557</v>
      </c>
      <c r="E22" s="3">
        <f t="shared" si="1"/>
        <v>19.760441507709753</v>
      </c>
      <c r="F22" s="3">
        <f t="shared" si="2"/>
        <v>38.514273427700985</v>
      </c>
      <c r="G22" s="3">
        <f t="shared" si="3"/>
        <v>50.044403346115161</v>
      </c>
      <c r="H22" s="1">
        <f t="shared" si="6"/>
        <v>147.87208682591546</v>
      </c>
    </row>
    <row r="23" spans="2:16" x14ac:dyDescent="0.35">
      <c r="B23" s="3">
        <f t="shared" si="0"/>
        <v>2.1398191836434073</v>
      </c>
      <c r="C23" s="2">
        <f t="shared" si="4"/>
        <v>2.4999999999999996E-3</v>
      </c>
      <c r="D23" s="3">
        <f t="shared" si="5"/>
        <v>30.595790904973359</v>
      </c>
      <c r="E23" s="3">
        <f t="shared" si="1"/>
        <v>13.125861633970036</v>
      </c>
      <c r="F23" s="3">
        <f t="shared" si="2"/>
        <v>29.071685729683079</v>
      </c>
      <c r="G23" s="3">
        <f t="shared" si="3"/>
        <v>42.926091748428277</v>
      </c>
      <c r="H23" s="1">
        <f t="shared" si="6"/>
        <v>115.71943001705475</v>
      </c>
    </row>
    <row r="24" spans="2:16" x14ac:dyDescent="0.35">
      <c r="B24" s="3">
        <f t="shared" si="0"/>
        <v>2.396597485680616</v>
      </c>
      <c r="C24" s="2">
        <f t="shared" si="4"/>
        <v>2.7999999999999995E-3</v>
      </c>
      <c r="D24" s="3">
        <f t="shared" si="5"/>
        <v>23.6670585180043</v>
      </c>
      <c r="E24" s="3">
        <f t="shared" si="1"/>
        <v>8.5932944797586153</v>
      </c>
      <c r="F24" s="3">
        <f t="shared" si="2"/>
        <v>21.316706748897392</v>
      </c>
      <c r="G24" s="3">
        <f t="shared" si="3"/>
        <v>35.252446946769574</v>
      </c>
      <c r="H24" s="1">
        <f t="shared" si="6"/>
        <v>88.829506693429892</v>
      </c>
    </row>
    <row r="25" spans="2:16" x14ac:dyDescent="0.35">
      <c r="B25" s="3">
        <f t="shared" si="0"/>
        <v>2.6533757877178248</v>
      </c>
      <c r="C25" s="2">
        <f t="shared" si="4"/>
        <v>3.0999999999999995E-3</v>
      </c>
      <c r="D25" s="3">
        <f t="shared" si="5"/>
        <v>18.307409036567527</v>
      </c>
      <c r="E25" s="3">
        <f t="shared" si="1"/>
        <v>5.5613113196811339</v>
      </c>
      <c r="F25" s="3">
        <f t="shared" si="2"/>
        <v>15.273595540213686</v>
      </c>
      <c r="G25" s="3">
        <f t="shared" si="3"/>
        <v>27.964953745167072</v>
      </c>
      <c r="H25" s="1">
        <f t="shared" si="6"/>
        <v>67.107269641629415</v>
      </c>
    </row>
    <row r="26" spans="2:16" x14ac:dyDescent="0.35">
      <c r="B26" s="3">
        <f t="shared" si="0"/>
        <v>2.9101540897550335</v>
      </c>
      <c r="C26" s="2">
        <f t="shared" si="4"/>
        <v>3.3999999999999994E-3</v>
      </c>
      <c r="D26" s="3">
        <f t="shared" si="5"/>
        <v>14.161507454643182</v>
      </c>
      <c r="E26" s="3">
        <f t="shared" si="1"/>
        <v>3.5654001691827339</v>
      </c>
      <c r="F26" s="3">
        <f t="shared" si="2"/>
        <v>10.739636506076495</v>
      </c>
      <c r="G26" s="3">
        <f t="shared" si="3"/>
        <v>21.566497786060914</v>
      </c>
      <c r="H26" s="1">
        <f t="shared" si="6"/>
        <v>50.033041915963324</v>
      </c>
    </row>
    <row r="27" spans="2:16" x14ac:dyDescent="0.35">
      <c r="B27" s="3">
        <f t="shared" si="0"/>
        <v>3.1669323917922423</v>
      </c>
      <c r="C27" s="2">
        <f t="shared" si="4"/>
        <v>3.6999999999999993E-3</v>
      </c>
      <c r="D27" s="3">
        <f t="shared" si="5"/>
        <v>10.954488042919447</v>
      </c>
      <c r="E27" s="3">
        <f t="shared" si="1"/>
        <v>2.2680098583081816</v>
      </c>
      <c r="F27" s="3">
        <f t="shared" si="2"/>
        <v>7.4344534532984801</v>
      </c>
      <c r="G27" s="3">
        <f t="shared" si="3"/>
        <v>16.246577867020708</v>
      </c>
      <c r="H27" s="1">
        <f t="shared" si="6"/>
        <v>36.903529221546819</v>
      </c>
    </row>
    <row r="28" spans="2:16" x14ac:dyDescent="0.35">
      <c r="B28" s="3">
        <f t="shared" si="0"/>
        <v>3.423710693829451</v>
      </c>
      <c r="C28" s="2">
        <f t="shared" si="4"/>
        <v>3.9999999999999992E-3</v>
      </c>
      <c r="D28" s="3">
        <f t="shared" si="5"/>
        <v>8.4737312511967122</v>
      </c>
      <c r="E28" s="3">
        <f t="shared" si="1"/>
        <v>1.4332338455776867</v>
      </c>
      <c r="F28" s="3">
        <f t="shared" si="2"/>
        <v>5.0790142511264245</v>
      </c>
      <c r="G28" s="3">
        <f t="shared" si="3"/>
        <v>11.999151821475301</v>
      </c>
      <c r="H28" s="1">
        <f t="shared" si="6"/>
        <v>26.985131169376125</v>
      </c>
    </row>
    <row r="29" spans="2:16" x14ac:dyDescent="0.35">
      <c r="B29" s="3">
        <f t="shared" si="0"/>
        <v>3.6804889958666602</v>
      </c>
      <c r="C29" s="2">
        <f t="shared" si="4"/>
        <v>4.2999999999999991E-3</v>
      </c>
      <c r="D29" s="3">
        <f t="shared" si="5"/>
        <v>6.5547674191784031</v>
      </c>
      <c r="E29" s="3">
        <f t="shared" si="1"/>
        <v>0.90061540200599755</v>
      </c>
      <c r="F29" s="3">
        <f t="shared" si="2"/>
        <v>3.4309169863403222</v>
      </c>
      <c r="G29" s="3">
        <f t="shared" si="3"/>
        <v>8.713442934642126</v>
      </c>
      <c r="H29" s="1">
        <f t="shared" si="6"/>
        <v>19.599742742166846</v>
      </c>
    </row>
    <row r="30" spans="2:16" x14ac:dyDescent="0.35">
      <c r="B30" s="3">
        <f t="shared" si="0"/>
        <v>3.937267297903869</v>
      </c>
      <c r="C30" s="2">
        <f t="shared" si="4"/>
        <v>4.5999999999999991E-3</v>
      </c>
      <c r="D30" s="3">
        <f t="shared" si="5"/>
        <v>5.0703727373292535</v>
      </c>
      <c r="E30" s="3">
        <f t="shared" si="1"/>
        <v>0.56317399942997282</v>
      </c>
      <c r="F30" s="3">
        <f t="shared" si="2"/>
        <v>2.2951063390413795</v>
      </c>
      <c r="G30" s="3">
        <f t="shared" si="3"/>
        <v>6.23550698107457</v>
      </c>
      <c r="H30" s="1">
        <f t="shared" si="6"/>
        <v>14.164160056875176</v>
      </c>
    </row>
    <row r="31" spans="2:16" x14ac:dyDescent="0.35">
      <c r="B31" s="3">
        <f t="shared" si="0"/>
        <v>4.1940455999410773</v>
      </c>
      <c r="C31" s="2">
        <f t="shared" si="4"/>
        <v>4.899999999999999E-3</v>
      </c>
      <c r="D31" s="3">
        <f t="shared" si="5"/>
        <v>3.9221345398513279</v>
      </c>
      <c r="E31" s="3">
        <f t="shared" si="1"/>
        <v>0.35066683587148667</v>
      </c>
      <c r="F31" s="3">
        <f t="shared" si="2"/>
        <v>1.5222751550963756</v>
      </c>
      <c r="G31" s="3">
        <f t="shared" si="3"/>
        <v>4.4055523377617085</v>
      </c>
      <c r="H31" s="1">
        <f t="shared" si="6"/>
        <v>10.2006288685809</v>
      </c>
    </row>
    <row r="32" spans="2:16" x14ac:dyDescent="0.35">
      <c r="B32" s="3">
        <f t="shared" si="0"/>
        <v>4.4508239019782865</v>
      </c>
      <c r="C32" s="2">
        <f t="shared" si="4"/>
        <v>5.1999999999999989E-3</v>
      </c>
      <c r="D32" s="3">
        <f t="shared" si="5"/>
        <v>3.033926724053353</v>
      </c>
      <c r="E32" s="3">
        <f t="shared" si="1"/>
        <v>0.21752832135133165</v>
      </c>
      <c r="F32" s="3">
        <f t="shared" si="2"/>
        <v>1.0021241696523118</v>
      </c>
      <c r="G32" s="3">
        <f t="shared" si="3"/>
        <v>3.0777688936095169</v>
      </c>
      <c r="H32" s="1">
        <f t="shared" si="6"/>
        <v>7.3313481086665133</v>
      </c>
    </row>
    <row r="33" spans="2:13" x14ac:dyDescent="0.35">
      <c r="B33" s="3">
        <f t="shared" si="0"/>
        <v>4.7076022040154957</v>
      </c>
      <c r="C33" s="2">
        <f t="shared" si="4"/>
        <v>5.4999999999999988E-3</v>
      </c>
      <c r="D33" s="3">
        <f t="shared" si="5"/>
        <v>2.34686272829234</v>
      </c>
      <c r="E33" s="3">
        <f t="shared" si="1"/>
        <v>0.13448969370135663</v>
      </c>
      <c r="F33" s="3">
        <f t="shared" si="2"/>
        <v>0.65532098996888044</v>
      </c>
      <c r="G33" s="3">
        <f t="shared" si="3"/>
        <v>2.1287658460402481</v>
      </c>
      <c r="H33" s="1">
        <f t="shared" si="6"/>
        <v>5.2654392580028251</v>
      </c>
    </row>
    <row r="34" spans="2:13" x14ac:dyDescent="0.35">
      <c r="B34" s="3">
        <f t="shared" si="0"/>
        <v>4.964380506052704</v>
      </c>
      <c r="C34" s="2">
        <f t="shared" si="4"/>
        <v>5.7999999999999987E-3</v>
      </c>
      <c r="D34" s="3">
        <f t="shared" si="5"/>
        <v>1.8153914601105949</v>
      </c>
      <c r="E34" s="3">
        <f t="shared" si="1"/>
        <v>8.290260144785179E-2</v>
      </c>
      <c r="F34" s="3">
        <f t="shared" si="2"/>
        <v>0.42598914928435649</v>
      </c>
      <c r="G34" s="3">
        <f t="shared" si="3"/>
        <v>1.4592767266550157</v>
      </c>
      <c r="H34" s="1">
        <f t="shared" si="6"/>
        <v>3.7835599374978188</v>
      </c>
    </row>
    <row r="35" spans="2:13" x14ac:dyDescent="0.35">
      <c r="B35" s="3">
        <f t="shared" si="0"/>
        <v>5.2211588080899132</v>
      </c>
      <c r="C35" s="2">
        <f t="shared" si="4"/>
        <v>6.0999999999999987E-3</v>
      </c>
      <c r="D35" s="3">
        <f t="shared" si="5"/>
        <v>1.4042773417090755</v>
      </c>
      <c r="E35" s="3">
        <f t="shared" si="1"/>
        <v>5.0966387324219264E-2</v>
      </c>
      <c r="F35" s="3">
        <f t="shared" si="2"/>
        <v>0.27543306190330558</v>
      </c>
      <c r="G35" s="3">
        <f t="shared" si="3"/>
        <v>0.99233207835365944</v>
      </c>
      <c r="H35" s="1">
        <f t="shared" si="6"/>
        <v>2.7230088692902599</v>
      </c>
      <c r="I35" s="2"/>
      <c r="J35" s="2"/>
      <c r="K35" s="2"/>
      <c r="L35" s="2"/>
      <c r="M35" s="2"/>
    </row>
    <row r="36" spans="2:13" x14ac:dyDescent="0.35">
      <c r="B36" s="3">
        <f t="shared" si="0"/>
        <v>5.4779371101271215</v>
      </c>
      <c r="C36" s="2">
        <f t="shared" si="4"/>
        <v>6.3999999999999986E-3</v>
      </c>
      <c r="D36" s="3">
        <f t="shared" si="5"/>
        <v>1.086264255268323</v>
      </c>
      <c r="E36" s="3">
        <f t="shared" si="1"/>
        <v>3.1257039352361488E-2</v>
      </c>
      <c r="F36" s="3">
        <f t="shared" si="2"/>
        <v>0.17722712737604923</v>
      </c>
      <c r="G36" s="3">
        <f t="shared" si="3"/>
        <v>0.66991746134125096</v>
      </c>
      <c r="H36" s="1">
        <f t="shared" si="6"/>
        <v>1.9646658833379846</v>
      </c>
      <c r="I36" s="2"/>
      <c r="J36" s="2"/>
      <c r="K36" s="2"/>
      <c r="L36" s="2"/>
      <c r="M36" s="2"/>
    </row>
    <row r="37" spans="2:13" x14ac:dyDescent="0.35">
      <c r="B37" s="3">
        <f t="shared" si="0"/>
        <v>5.7347154121643307</v>
      </c>
      <c r="C37" s="2">
        <f t="shared" si="4"/>
        <v>6.6999999999999985E-3</v>
      </c>
      <c r="D37" s="3">
        <f t="shared" si="5"/>
        <v>0.84026851194334673</v>
      </c>
      <c r="E37" s="3">
        <f t="shared" si="1"/>
        <v>1.9127425470533463E-2</v>
      </c>
      <c r="F37" s="3">
        <f t="shared" si="2"/>
        <v>0.11353603040915035</v>
      </c>
      <c r="G37" s="3">
        <f t="shared" si="3"/>
        <v>0.44928263593465884</v>
      </c>
      <c r="H37" s="1">
        <f t="shared" si="6"/>
        <v>1.4222146037576895</v>
      </c>
    </row>
  </sheetData>
  <mergeCells count="3">
    <mergeCell ref="D13:G13"/>
    <mergeCell ref="O2:P2"/>
    <mergeCell ref="R2:S2"/>
  </mergeCells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Multiexponential-eta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Johnson</dc:creator>
  <cp:lastModifiedBy>William Johnson</cp:lastModifiedBy>
  <dcterms:created xsi:type="dcterms:W3CDTF">2015-06-05T18:17:20Z</dcterms:created>
  <dcterms:modified xsi:type="dcterms:W3CDTF">2026-05-19T00:32:02Z</dcterms:modified>
</cp:coreProperties>
</file>
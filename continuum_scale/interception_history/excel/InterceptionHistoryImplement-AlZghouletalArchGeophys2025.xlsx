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asha\Downloads\"/>
    </mc:Choice>
  </mc:AlternateContent>
  <xr:revisionPtr revIDLastSave="0" documentId="13_ncr:1_{FB48CA74-AD21-4995-BC9D-DD15B7B97F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ultiexponential" sheetId="3" r:id="rId1"/>
    <sheet name="Nonmonotonic" sheetId="1" r:id="rId2"/>
    <sheet name="Multiexponential-e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G7" i="3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15" i="4"/>
  <c r="D13" i="4"/>
  <c r="G12" i="4"/>
  <c r="G13" i="4" s="1"/>
  <c r="G16" i="4" s="1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7" i="4"/>
  <c r="E12" i="4" s="1"/>
  <c r="E13" i="4" s="1"/>
  <c r="E28" i="4" s="1"/>
  <c r="C13" i="3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13" i="1"/>
  <c r="C14" i="1" s="1"/>
  <c r="C15" i="1" s="1"/>
  <c r="C16" i="1" s="1"/>
  <c r="C17" i="1" s="1"/>
  <c r="C7" i="1"/>
  <c r="G7" i="1" s="1"/>
  <c r="B13" i="1" s="1"/>
  <c r="D13" i="1" s="1"/>
  <c r="E27" i="4" l="1"/>
  <c r="G35" i="4"/>
  <c r="G34" i="4"/>
  <c r="G33" i="4"/>
  <c r="G32" i="4"/>
  <c r="G31" i="4"/>
  <c r="G30" i="4"/>
  <c r="G27" i="4"/>
  <c r="G25" i="4"/>
  <c r="G22" i="4"/>
  <c r="G15" i="4"/>
  <c r="G28" i="4"/>
  <c r="G26" i="4"/>
  <c r="G24" i="4"/>
  <c r="G21" i="4"/>
  <c r="G17" i="4"/>
  <c r="G29" i="4"/>
  <c r="G23" i="4"/>
  <c r="G20" i="4"/>
  <c r="G19" i="4"/>
  <c r="G18" i="4"/>
  <c r="G37" i="4"/>
  <c r="G36" i="4"/>
  <c r="E26" i="4"/>
  <c r="E25" i="4"/>
  <c r="E24" i="4"/>
  <c r="E23" i="4"/>
  <c r="E22" i="4"/>
  <c r="E21" i="4"/>
  <c r="E20" i="4"/>
  <c r="E19" i="4"/>
  <c r="E15" i="4"/>
  <c r="E18" i="4"/>
  <c r="E37" i="4"/>
  <c r="E17" i="4"/>
  <c r="E36" i="4"/>
  <c r="E16" i="4"/>
  <c r="E35" i="4"/>
  <c r="E34" i="4"/>
  <c r="E33" i="4"/>
  <c r="E32" i="4"/>
  <c r="E31" i="4"/>
  <c r="E30" i="4"/>
  <c r="E29" i="4"/>
  <c r="D12" i="4"/>
  <c r="B17" i="4" s="1"/>
  <c r="F12" i="4"/>
  <c r="F13" i="4" s="1"/>
  <c r="G13" i="1"/>
  <c r="F13" i="1"/>
  <c r="E13" i="1"/>
  <c r="B18" i="3"/>
  <c r="B29" i="3"/>
  <c r="B23" i="3"/>
  <c r="B20" i="3"/>
  <c r="B34" i="3"/>
  <c r="B14" i="3"/>
  <c r="B28" i="3"/>
  <c r="B22" i="3"/>
  <c r="B16" i="3"/>
  <c r="B33" i="3"/>
  <c r="B30" i="3"/>
  <c r="B27" i="3"/>
  <c r="B24" i="3"/>
  <c r="B21" i="3"/>
  <c r="B26" i="3"/>
  <c r="B17" i="3"/>
  <c r="B19" i="3"/>
  <c r="B13" i="3"/>
  <c r="B31" i="3"/>
  <c r="B25" i="3"/>
  <c r="B12" i="3"/>
  <c r="B32" i="3"/>
  <c r="B15" i="3"/>
  <c r="B12" i="1"/>
  <c r="B15" i="1"/>
  <c r="B14" i="1"/>
  <c r="C18" i="1"/>
  <c r="B17" i="1"/>
  <c r="B16" i="1"/>
  <c r="I30" i="3" l="1"/>
  <c r="H30" i="3"/>
  <c r="J30" i="3"/>
  <c r="D18" i="3"/>
  <c r="J18" i="3"/>
  <c r="I18" i="3"/>
  <c r="H18" i="3"/>
  <c r="J17" i="3"/>
  <c r="I17" i="3"/>
  <c r="H17" i="3"/>
  <c r="J33" i="3"/>
  <c r="I33" i="3"/>
  <c r="H33" i="3"/>
  <c r="I22" i="3"/>
  <c r="H22" i="3"/>
  <c r="J22" i="3"/>
  <c r="I14" i="3"/>
  <c r="J14" i="3"/>
  <c r="H14" i="3"/>
  <c r="H20" i="3"/>
  <c r="J20" i="3"/>
  <c r="I20" i="3"/>
  <c r="I23" i="3"/>
  <c r="J23" i="3"/>
  <c r="H23" i="3"/>
  <c r="J25" i="3"/>
  <c r="I25" i="3"/>
  <c r="H25" i="3"/>
  <c r="J26" i="3"/>
  <c r="I26" i="3"/>
  <c r="H26" i="3"/>
  <c r="J16" i="3"/>
  <c r="I16" i="3"/>
  <c r="H16" i="3"/>
  <c r="H28" i="3"/>
  <c r="J28" i="3"/>
  <c r="I28" i="3"/>
  <c r="I34" i="3"/>
  <c r="H34" i="3"/>
  <c r="J34" i="3"/>
  <c r="J15" i="3"/>
  <c r="I15" i="3"/>
  <c r="H15" i="3"/>
  <c r="J32" i="3"/>
  <c r="H32" i="3"/>
  <c r="I32" i="3"/>
  <c r="H29" i="3"/>
  <c r="I29" i="3"/>
  <c r="J29" i="3"/>
  <c r="H12" i="3"/>
  <c r="I12" i="3"/>
  <c r="J12" i="3"/>
  <c r="I31" i="3"/>
  <c r="H31" i="3"/>
  <c r="J31" i="3"/>
  <c r="J13" i="3"/>
  <c r="I13" i="3"/>
  <c r="H13" i="3"/>
  <c r="J19" i="3"/>
  <c r="I19" i="3"/>
  <c r="H19" i="3"/>
  <c r="H21" i="3"/>
  <c r="J21" i="3"/>
  <c r="I21" i="3"/>
  <c r="J24" i="3"/>
  <c r="I24" i="3"/>
  <c r="H24" i="3"/>
  <c r="J27" i="3"/>
  <c r="I27" i="3"/>
  <c r="H27" i="3"/>
  <c r="F12" i="3"/>
  <c r="D12" i="3"/>
  <c r="E12" i="3"/>
  <c r="G12" i="3"/>
  <c r="F32" i="4"/>
  <c r="F34" i="4"/>
  <c r="F35" i="4"/>
  <c r="F36" i="4"/>
  <c r="F17" i="4"/>
  <c r="F18" i="4"/>
  <c r="F20" i="4"/>
  <c r="F21" i="4"/>
  <c r="H21" i="4" s="1"/>
  <c r="F23" i="4"/>
  <c r="F27" i="4"/>
  <c r="F30" i="4"/>
  <c r="F33" i="4"/>
  <c r="F16" i="4"/>
  <c r="F37" i="4"/>
  <c r="F15" i="4"/>
  <c r="F22" i="4"/>
  <c r="F25" i="4"/>
  <c r="F26" i="4"/>
  <c r="F19" i="4"/>
  <c r="F24" i="4"/>
  <c r="F28" i="4"/>
  <c r="F29" i="4"/>
  <c r="F31" i="4"/>
  <c r="B29" i="4"/>
  <c r="B32" i="4"/>
  <c r="B22" i="4"/>
  <c r="B18" i="4"/>
  <c r="B33" i="4"/>
  <c r="B28" i="4"/>
  <c r="B21" i="4"/>
  <c r="B27" i="4"/>
  <c r="B16" i="4"/>
  <c r="B36" i="4"/>
  <c r="B25" i="4"/>
  <c r="B35" i="4"/>
  <c r="B24" i="4"/>
  <c r="B31" i="4"/>
  <c r="B37" i="4"/>
  <c r="B26" i="4"/>
  <c r="B15" i="4"/>
  <c r="B30" i="4"/>
  <c r="B19" i="4"/>
  <c r="B23" i="4"/>
  <c r="B34" i="4"/>
  <c r="B20" i="4"/>
  <c r="H13" i="1"/>
  <c r="G17" i="1"/>
  <c r="F17" i="1"/>
  <c r="E17" i="1"/>
  <c r="D17" i="1"/>
  <c r="D16" i="1"/>
  <c r="E16" i="1"/>
  <c r="G16" i="1"/>
  <c r="F16" i="1"/>
  <c r="E14" i="1"/>
  <c r="D14" i="1"/>
  <c r="F14" i="1"/>
  <c r="G14" i="1"/>
  <c r="F15" i="1"/>
  <c r="G15" i="1"/>
  <c r="D15" i="1"/>
  <c r="E15" i="1"/>
  <c r="D12" i="1"/>
  <c r="G12" i="1"/>
  <c r="F12" i="1"/>
  <c r="E12" i="1"/>
  <c r="G18" i="3"/>
  <c r="F18" i="3"/>
  <c r="E18" i="3"/>
  <c r="D26" i="3"/>
  <c r="E26" i="3"/>
  <c r="F26" i="3"/>
  <c r="G26" i="3"/>
  <c r="D21" i="3"/>
  <c r="E21" i="3"/>
  <c r="F21" i="3"/>
  <c r="G21" i="3"/>
  <c r="D24" i="3"/>
  <c r="E24" i="3"/>
  <c r="F24" i="3"/>
  <c r="G24" i="3"/>
  <c r="D27" i="3"/>
  <c r="E27" i="3"/>
  <c r="F27" i="3"/>
  <c r="G27" i="3"/>
  <c r="D30" i="3"/>
  <c r="E30" i="3"/>
  <c r="F30" i="3"/>
  <c r="G30" i="3"/>
  <c r="D33" i="3"/>
  <c r="E33" i="3"/>
  <c r="F33" i="3"/>
  <c r="G33" i="3"/>
  <c r="D16" i="3"/>
  <c r="E16" i="3"/>
  <c r="F16" i="3"/>
  <c r="G16" i="3"/>
  <c r="D22" i="3"/>
  <c r="E22" i="3"/>
  <c r="F22" i="3"/>
  <c r="G22" i="3"/>
  <c r="D28" i="3"/>
  <c r="E28" i="3"/>
  <c r="F28" i="3"/>
  <c r="G28" i="3"/>
  <c r="D14" i="3"/>
  <c r="E14" i="3"/>
  <c r="F14" i="3"/>
  <c r="G14" i="3"/>
  <c r="D34" i="3"/>
  <c r="E34" i="3"/>
  <c r="F34" i="3"/>
  <c r="G34" i="3"/>
  <c r="D20" i="3"/>
  <c r="E20" i="3"/>
  <c r="F20" i="3"/>
  <c r="G20" i="3"/>
  <c r="D15" i="3"/>
  <c r="E15" i="3"/>
  <c r="F15" i="3"/>
  <c r="G15" i="3"/>
  <c r="D23" i="3"/>
  <c r="E23" i="3"/>
  <c r="F23" i="3"/>
  <c r="G23" i="3"/>
  <c r="D19" i="3"/>
  <c r="E19" i="3"/>
  <c r="F19" i="3"/>
  <c r="G19" i="3"/>
  <c r="D17" i="3"/>
  <c r="E17" i="3"/>
  <c r="F17" i="3"/>
  <c r="G17" i="3"/>
  <c r="D29" i="3"/>
  <c r="E29" i="3"/>
  <c r="F29" i="3"/>
  <c r="G29" i="3"/>
  <c r="D32" i="3"/>
  <c r="E32" i="3"/>
  <c r="F32" i="3"/>
  <c r="G32" i="3"/>
  <c r="D25" i="3"/>
  <c r="E25" i="3"/>
  <c r="F25" i="3"/>
  <c r="G25" i="3"/>
  <c r="D31" i="3"/>
  <c r="E31" i="3"/>
  <c r="F31" i="3"/>
  <c r="G31" i="3"/>
  <c r="D13" i="3"/>
  <c r="E13" i="3"/>
  <c r="F13" i="3"/>
  <c r="G13" i="3"/>
  <c r="C19" i="1"/>
  <c r="B18" i="1"/>
  <c r="K29" i="3" l="1"/>
  <c r="K16" i="3"/>
  <c r="K21" i="3"/>
  <c r="K14" i="3"/>
  <c r="K23" i="3"/>
  <c r="K28" i="3"/>
  <c r="K15" i="3"/>
  <c r="K22" i="3"/>
  <c r="K24" i="3"/>
  <c r="K30" i="3"/>
  <c r="K25" i="3"/>
  <c r="K27" i="3"/>
  <c r="K32" i="3"/>
  <c r="K12" i="3"/>
  <c r="K19" i="3"/>
  <c r="K20" i="3"/>
  <c r="K13" i="3"/>
  <c r="K26" i="3"/>
  <c r="K31" i="3"/>
  <c r="K17" i="3"/>
  <c r="K34" i="3"/>
  <c r="K33" i="3"/>
  <c r="K18" i="3"/>
  <c r="H26" i="4"/>
  <c r="H19" i="4"/>
  <c r="H30" i="4"/>
  <c r="H37" i="4"/>
  <c r="H35" i="4"/>
  <c r="H31" i="4"/>
  <c r="H22" i="4"/>
  <c r="H36" i="4"/>
  <c r="H16" i="4"/>
  <c r="H34" i="4"/>
  <c r="H25" i="4"/>
  <c r="H32" i="4"/>
  <c r="H18" i="4"/>
  <c r="H17" i="4"/>
  <c r="H33" i="4"/>
  <c r="H27" i="4"/>
  <c r="H20" i="4"/>
  <c r="H29" i="4"/>
  <c r="H24" i="4"/>
  <c r="H23" i="4"/>
  <c r="H15" i="4"/>
  <c r="H28" i="4"/>
  <c r="H17" i="1"/>
  <c r="H15" i="1"/>
  <c r="H12" i="1"/>
  <c r="D18" i="1"/>
  <c r="E18" i="1"/>
  <c r="F18" i="1"/>
  <c r="G18" i="1"/>
  <c r="H14" i="1"/>
  <c r="H16" i="1"/>
  <c r="C20" i="1"/>
  <c r="B19" i="1"/>
  <c r="D19" i="1" l="1"/>
  <c r="E19" i="1"/>
  <c r="F19" i="1"/>
  <c r="G19" i="1"/>
  <c r="H18" i="1"/>
  <c r="C21" i="1"/>
  <c r="B20" i="1"/>
  <c r="G20" i="1" l="1"/>
  <c r="D20" i="1"/>
  <c r="E20" i="1"/>
  <c r="F20" i="1"/>
  <c r="H19" i="1"/>
  <c r="C22" i="1"/>
  <c r="B21" i="1"/>
  <c r="D21" i="1" l="1"/>
  <c r="E21" i="1"/>
  <c r="F21" i="1"/>
  <c r="G21" i="1"/>
  <c r="H20" i="1"/>
  <c r="C23" i="1"/>
  <c r="B22" i="1"/>
  <c r="G22" i="1" l="1"/>
  <c r="E22" i="1"/>
  <c r="F22" i="1"/>
  <c r="D22" i="1"/>
  <c r="H21" i="1"/>
  <c r="C24" i="1"/>
  <c r="B23" i="1"/>
  <c r="D23" i="1" l="1"/>
  <c r="E23" i="1"/>
  <c r="F23" i="1"/>
  <c r="G23" i="1"/>
  <c r="H22" i="1"/>
  <c r="C25" i="1"/>
  <c r="B24" i="1"/>
  <c r="H23" i="1" l="1"/>
  <c r="E24" i="1"/>
  <c r="D24" i="1"/>
  <c r="F24" i="1"/>
  <c r="G24" i="1"/>
  <c r="C26" i="1"/>
  <c r="B25" i="1"/>
  <c r="D25" i="1" l="1"/>
  <c r="F25" i="1"/>
  <c r="E25" i="1"/>
  <c r="G25" i="1"/>
  <c r="H24" i="1"/>
  <c r="C27" i="1"/>
  <c r="B26" i="1"/>
  <c r="H25" i="1" l="1"/>
  <c r="E26" i="1"/>
  <c r="F26" i="1"/>
  <c r="G26" i="1"/>
  <c r="D26" i="1"/>
  <c r="C28" i="1"/>
  <c r="B27" i="1"/>
  <c r="G27" i="1" l="1"/>
  <c r="D27" i="1"/>
  <c r="E27" i="1"/>
  <c r="F27" i="1"/>
  <c r="H26" i="1"/>
  <c r="C29" i="1"/>
  <c r="B28" i="1"/>
  <c r="H27" i="1" l="1"/>
  <c r="D28" i="1"/>
  <c r="E28" i="1"/>
  <c r="F28" i="1"/>
  <c r="G28" i="1"/>
  <c r="C30" i="1"/>
  <c r="B29" i="1"/>
  <c r="H28" i="1" l="1"/>
  <c r="D29" i="1"/>
  <c r="E29" i="1"/>
  <c r="F29" i="1"/>
  <c r="G29" i="1"/>
  <c r="C31" i="1"/>
  <c r="B30" i="1"/>
  <c r="G30" i="1" l="1"/>
  <c r="E30" i="1"/>
  <c r="F30" i="1"/>
  <c r="D30" i="1"/>
  <c r="H29" i="1"/>
  <c r="C32" i="1"/>
  <c r="B31" i="1"/>
  <c r="H30" i="1" l="1"/>
  <c r="D31" i="1"/>
  <c r="G31" i="1"/>
  <c r="F31" i="1"/>
  <c r="E31" i="1"/>
  <c r="C33" i="1"/>
  <c r="C34" i="1" s="1"/>
  <c r="B32" i="1"/>
  <c r="G32" i="1" l="1"/>
  <c r="D32" i="1"/>
  <c r="E32" i="1"/>
  <c r="F32" i="1"/>
  <c r="H31" i="1"/>
  <c r="B34" i="1"/>
  <c r="B33" i="1"/>
  <c r="D33" i="1" l="1"/>
  <c r="E33" i="1"/>
  <c r="F33" i="1"/>
  <c r="G33" i="1"/>
  <c r="D34" i="1"/>
  <c r="E34" i="1"/>
  <c r="F34" i="1"/>
  <c r="G34" i="1"/>
  <c r="H32" i="1"/>
  <c r="H34" i="1" l="1"/>
  <c r="H33" i="1"/>
</calcChain>
</file>

<file path=xl/sharedStrings.xml><?xml version="1.0" encoding="utf-8"?>
<sst xmlns="http://schemas.openxmlformats.org/spreadsheetml/2006/main" count="37" uniqueCount="15">
  <si>
    <t>alpha</t>
  </si>
  <si>
    <t>eta</t>
  </si>
  <si>
    <t>porosity</t>
  </si>
  <si>
    <t>Co #/mL</t>
  </si>
  <si>
    <t>kf 1/day</t>
  </si>
  <si>
    <t>C #/mL</t>
  </si>
  <si>
    <t>Grain dia. (m)</t>
  </si>
  <si>
    <t>vel (m/day)</t>
  </si>
  <si>
    <t>x (m)</t>
  </si>
  <si>
    <t>Int. Order</t>
  </si>
  <si>
    <t>(kf/v)*x)</t>
  </si>
  <si>
    <t>step x</t>
  </si>
  <si>
    <t>kf (1/day)</t>
  </si>
  <si>
    <t>kf/v</t>
  </si>
  <si>
    <t>eta decreasing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</si>
</sst>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1" fontId="0" fillId="2" borderId="0" xfId="0" applyNumberFormat="1" applyFill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Border="1"/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C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4614047019722"/>
          <c:y val="5.5569069250959016E-2"/>
          <c:w val="0.64517006611929506"/>
          <c:h val="0.725002866949323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Multiexponential!$D$11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Multiexponential!$D$12:$D$34</c:f>
              <c:numCache>
                <c:formatCode>0.00E+00</c:formatCode>
                <c:ptCount val="23"/>
                <c:pt idx="0">
                  <c:v>10502.463802207027</c:v>
                </c:pt>
                <c:pt idx="1">
                  <c:v>8044.7228736809147</c:v>
                </c:pt>
                <c:pt idx="2">
                  <c:v>6162.1317943247677</c:v>
                </c:pt>
                <c:pt idx="3">
                  <c:v>4720.0964964072036</c:v>
                </c:pt>
                <c:pt idx="4">
                  <c:v>3615.5200308949056</c:v>
                </c:pt>
                <c:pt idx="5">
                  <c:v>2769.4317486416435</c:v>
                </c:pt>
                <c:pt idx="6">
                  <c:v>2121.3413685571286</c:v>
                </c:pt>
                <c:pt idx="7">
                  <c:v>1624.9142822021322</c:v>
                </c:pt>
                <c:pt idx="8">
                  <c:v>1244.6589048043472</c:v>
                </c:pt>
                <c:pt idx="9">
                  <c:v>953.38923799061388</c:v>
                </c:pt>
                <c:pt idx="10">
                  <c:v>730.28123255921696</c:v>
                </c:pt>
                <c:pt idx="11">
                  <c:v>559.3839927879061</c:v>
                </c:pt>
                <c:pt idx="12">
                  <c:v>428.47938223849559</c:v>
                </c:pt>
                <c:pt idx="13">
                  <c:v>328.20849965417887</c:v>
                </c:pt>
                <c:pt idx="14">
                  <c:v>251.40257317046073</c:v>
                </c:pt>
                <c:pt idx="15">
                  <c:v>192.57043575447858</c:v>
                </c:pt>
                <c:pt idx="16">
                  <c:v>147.50593941425475</c:v>
                </c:pt>
                <c:pt idx="17">
                  <c:v>112.98724062826864</c:v>
                </c:pt>
                <c:pt idx="18">
                  <c:v>86.546457691700098</c:v>
                </c:pt>
                <c:pt idx="19">
                  <c:v>66.293231849289143</c:v>
                </c:pt>
                <c:pt idx="20">
                  <c:v>50.77957788496601</c:v>
                </c:pt>
                <c:pt idx="21">
                  <c:v>38.896361789050125</c:v>
                </c:pt>
                <c:pt idx="22">
                  <c:v>29.794004271796076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E8-4443-916B-8D9BBE57E920}"/>
            </c:ext>
          </c:extLst>
        </c:ser>
        <c:ser>
          <c:idx val="1"/>
          <c:order val="1"/>
          <c:tx>
            <c:strRef>
              <c:f>Multiexponential!$E$11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8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solidFill>
                    <a:srgbClr val="008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1E8-4443-916B-8D9BBE57E920}"/>
              </c:ext>
            </c:extLst>
          </c:dPt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Multiexponential!$E$12:$E$34</c:f>
              <c:numCache>
                <c:formatCode>0.00E+00</c:formatCode>
                <c:ptCount val="23"/>
                <c:pt idx="0">
                  <c:v>219.32464244583383</c:v>
                </c:pt>
                <c:pt idx="1">
                  <c:v>503.99772884009616</c:v>
                </c:pt>
                <c:pt idx="2">
                  <c:v>643.42395172567672</c:v>
                </c:pt>
                <c:pt idx="3">
                  <c:v>689.99374538835048</c:v>
                </c:pt>
                <c:pt idx="4">
                  <c:v>679.53138203496917</c:v>
                </c:pt>
                <c:pt idx="5">
                  <c:v>636.1793798455742</c:v>
                </c:pt>
                <c:pt idx="6">
                  <c:v>575.90407327711898</c:v>
                </c:pt>
                <c:pt idx="7">
                  <c:v>509.00019842137357</c:v>
                </c:pt>
                <c:pt idx="8">
                  <c:v>441.8710090197884</c:v>
                </c:pt>
                <c:pt idx="9">
                  <c:v>378.28583804412295</c:v>
                </c:pt>
                <c:pt idx="10">
                  <c:v>320.26219160385858</c:v>
                </c:pt>
                <c:pt idx="11">
                  <c:v>268.67923755128942</c:v>
                </c:pt>
                <c:pt idx="12">
                  <c:v>223.70009807870358</c:v>
                </c:pt>
                <c:pt idx="13">
                  <c:v>185.05883534858293</c:v>
                </c:pt>
                <c:pt idx="14">
                  <c:v>152.25233190621597</c:v>
                </c:pt>
                <c:pt idx="15">
                  <c:v>124.66586180635365</c:v>
                </c:pt>
                <c:pt idx="16">
                  <c:v>101.652879266073</c:v>
                </c:pt>
                <c:pt idx="17">
                  <c:v>82.583575782333156</c:v>
                </c:pt>
                <c:pt idx="18">
                  <c:v>66.872453558495351</c:v>
                </c:pt>
                <c:pt idx="19">
                  <c:v>53.992077114884069</c:v>
                </c:pt>
                <c:pt idx="20">
                  <c:v>43.477962113426706</c:v>
                </c:pt>
                <c:pt idx="21">
                  <c:v>34.927996373715985</c:v>
                </c:pt>
                <c:pt idx="22">
                  <c:v>27.998684457790343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E8-4443-916B-8D9BBE57E920}"/>
            </c:ext>
          </c:extLst>
        </c:ser>
        <c:ser>
          <c:idx val="2"/>
          <c:order val="2"/>
          <c:tx>
            <c:strRef>
              <c:f>Multiexponential!$F$11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Multiexponential!$F$12:$F$34</c:f>
              <c:numCache>
                <c:formatCode>0.00E+00</c:formatCode>
                <c:ptCount val="23"/>
                <c:pt idx="0">
                  <c:v>14.471457129576994</c:v>
                </c:pt>
                <c:pt idx="1">
                  <c:v>99.764186709410509</c:v>
                </c:pt>
                <c:pt idx="2">
                  <c:v>212.27168159730928</c:v>
                </c:pt>
                <c:pt idx="3">
                  <c:v>318.68969926490888</c:v>
                </c:pt>
                <c:pt idx="4">
                  <c:v>403.53095932550798</c:v>
                </c:pt>
                <c:pt idx="5">
                  <c:v>461.73958254019652</c:v>
                </c:pt>
                <c:pt idx="6">
                  <c:v>493.99020185376253</c:v>
                </c:pt>
                <c:pt idx="7">
                  <c:v>503.77202043451996</c:v>
                </c:pt>
                <c:pt idx="8">
                  <c:v>495.64332567875789</c:v>
                </c:pt>
                <c:pt idx="9">
                  <c:v>474.2403649299863</c:v>
                </c:pt>
                <c:pt idx="10">
                  <c:v>443.76168136441271</c:v>
                </c:pt>
                <c:pt idx="11">
                  <c:v>407.7432456418893</c:v>
                </c:pt>
                <c:pt idx="12">
                  <c:v>369.00395039144195</c:v>
                </c:pt>
                <c:pt idx="13">
                  <c:v>329.68441782442363</c:v>
                </c:pt>
                <c:pt idx="14">
                  <c:v>291.33105616934648</c:v>
                </c:pt>
                <c:pt idx="15">
                  <c:v>254.99641212472108</c:v>
                </c:pt>
                <c:pt idx="16">
                  <c:v>221.33926148809977</c:v>
                </c:pt>
                <c:pt idx="17">
                  <c:v>190.71575000639797</c:v>
                </c:pt>
                <c:pt idx="18">
                  <c:v>163.25775279553753</c:v>
                </c:pt>
                <c:pt idx="19">
                  <c:v>138.93749832700752</c:v>
                </c:pt>
                <c:pt idx="20">
                  <c:v>117.61910458105457</c:v>
                </c:pt>
                <c:pt idx="21">
                  <c:v>99.098472701582594</c:v>
                </c:pt>
                <c:pt idx="22">
                  <c:v>83.133290807479696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E8-4443-916B-8D9BBE57E920}"/>
            </c:ext>
          </c:extLst>
        </c:ser>
        <c:ser>
          <c:idx val="3"/>
          <c:order val="3"/>
          <c:tx>
            <c:strRef>
              <c:f>Multiexponential!$G$11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Multiexponential!$G$12:$G$34</c:f>
              <c:numCache>
                <c:formatCode>0.00E+00</c:formatCode>
                <c:ptCount val="23"/>
                <c:pt idx="0">
                  <c:v>0.63656951362987135</c:v>
                </c:pt>
                <c:pt idx="1">
                  <c:v>13.165261640756169</c:v>
                </c:pt>
                <c:pt idx="2">
                  <c:v>46.686964519841638</c:v>
                </c:pt>
                <c:pt idx="3">
                  <c:v>98.129512135790023</c:v>
                </c:pt>
                <c:pt idx="4">
                  <c:v>159.75444199650426</c:v>
                </c:pt>
                <c:pt idx="5">
                  <c:v>223.42067749942663</c:v>
                </c:pt>
                <c:pt idx="6">
                  <c:v>282.48491470569161</c:v>
                </c:pt>
                <c:pt idx="7">
                  <c:v>332.39836233172093</c:v>
                </c:pt>
                <c:pt idx="8">
                  <c:v>370.63954755311522</c:v>
                </c:pt>
                <c:pt idx="9">
                  <c:v>396.35623138270734</c:v>
                </c:pt>
                <c:pt idx="10">
                  <c:v>409.92335865223845</c:v>
                </c:pt>
                <c:pt idx="11">
                  <c:v>412.52301661963469</c:v>
                </c:pt>
                <c:pt idx="12">
                  <c:v>405.79304337656492</c:v>
                </c:pt>
                <c:pt idx="13">
                  <c:v>391.55769083381381</c:v>
                </c:pt>
                <c:pt idx="14">
                  <c:v>371.63649417217584</c:v>
                </c:pt>
                <c:pt idx="15">
                  <c:v>347.71973259465153</c:v>
                </c:pt>
                <c:pt idx="16">
                  <c:v>321.29648158064737</c:v>
                </c:pt>
                <c:pt idx="17">
                  <c:v>293.62171962110608</c:v>
                </c:pt>
                <c:pt idx="18">
                  <c:v>265.71074166370136</c:v>
                </c:pt>
                <c:pt idx="19">
                  <c:v>238.35137144650619</c:v>
                </c:pt>
                <c:pt idx="20">
                  <c:v>212.12668196296491</c:v>
                </c:pt>
                <c:pt idx="21">
                  <c:v>187.44289798763339</c:v>
                </c:pt>
                <c:pt idx="22">
                  <c:v>164.5587801550686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E8-4443-916B-8D9BBE57E920}"/>
            </c:ext>
          </c:extLst>
        </c:ser>
        <c:ser>
          <c:idx val="4"/>
          <c:order val="4"/>
          <c:tx>
            <c:v>Total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Multiexponential!$K$12:$K$34</c:f>
              <c:numCache>
                <c:formatCode>0.00E+00</c:formatCode>
                <c:ptCount val="23"/>
                <c:pt idx="0">
                  <c:v>10736.918262554615</c:v>
                </c:pt>
                <c:pt idx="1">
                  <c:v>8663.0784960730234</c:v>
                </c:pt>
                <c:pt idx="2">
                  <c:v>7073.4455201243145</c:v>
                </c:pt>
                <c:pt idx="3">
                  <c:v>5854.736113581127</c:v>
                </c:pt>
                <c:pt idx="4">
                  <c:v>4920.0445897977406</c:v>
                </c:pt>
                <c:pt idx="5">
                  <c:v>4202.5560009134842</c:v>
                </c:pt>
                <c:pt idx="6">
                  <c:v>3650.7584307706607</c:v>
                </c:pt>
                <c:pt idx="7">
                  <c:v>3224.8233570700331</c:v>
                </c:pt>
                <c:pt idx="8">
                  <c:v>2893.8850877741479</c:v>
                </c:pt>
                <c:pt idx="9">
                  <c:v>2634.0017450543432</c:v>
                </c:pt>
                <c:pt idx="10">
                  <c:v>2426.6249521829172</c:v>
                </c:pt>
                <c:pt idx="11">
                  <c:v>2257.44405410539</c:v>
                </c:pt>
                <c:pt idx="12">
                  <c:v>2115.5033443785142</c:v>
                </c:pt>
                <c:pt idx="13">
                  <c:v>1992.5174182089886</c:v>
                </c:pt>
                <c:pt idx="14">
                  <c:v>1882.3307666598428</c:v>
                </c:pt>
                <c:pt idx="15">
                  <c:v>1780.4836902710033</c:v>
                </c:pt>
                <c:pt idx="16">
                  <c:v>1683.8583235204235</c:v>
                </c:pt>
                <c:pt idx="17">
                  <c:v>1590.3868531795981</c:v>
                </c:pt>
                <c:pt idx="18">
                  <c:v>1498.8096705955224</c:v>
                </c:pt>
                <c:pt idx="19">
                  <c:v>1408.4749119657342</c:v>
                </c:pt>
                <c:pt idx="20">
                  <c:v>1319.1731838636483</c:v>
                </c:pt>
                <c:pt idx="21">
                  <c:v>1231.0026927759382</c:v>
                </c:pt>
                <c:pt idx="22">
                  <c:v>1144.2608332578529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E8-4443-916B-8D9BBE57E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89856"/>
        <c:axId val="1515591936"/>
      </c:scatterChart>
      <c:valAx>
        <c:axId val="151558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47389739238962009"/>
              <c:y val="0.88919394306480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1936"/>
        <c:crossesAt val="1.0000000000000002E-3"/>
        <c:crossBetween val="midCat"/>
        <c:majorUnit val="1.0000000000000002E-2"/>
      </c:valAx>
      <c:valAx>
        <c:axId val="1515591936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-25000"/>
                  <a:t>att</a:t>
                </a:r>
                <a:r>
                  <a:rPr lang="en-US"/>
                  <a:t> (#/mL)</a:t>
                </a:r>
              </a:p>
            </c:rich>
          </c:tx>
          <c:layout>
            <c:manualLayout>
              <c:xMode val="edge"/>
              <c:yMode val="edge"/>
              <c:x val="0"/>
              <c:y val="0.21483965273571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92977016992809"/>
          <c:y val="0.37250795536811704"/>
          <c:w val="0.22115032148140876"/>
          <c:h val="0.39327759287820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4614047019722"/>
          <c:y val="5.5569069250959016E-2"/>
          <c:w val="0.64517006611929506"/>
          <c:h val="0.725002866949323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Multiexponential!$D$11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Multiexponential!$D$12:$D$34</c:f>
              <c:numCache>
                <c:formatCode>0.00E+00</c:formatCode>
                <c:ptCount val="23"/>
                <c:pt idx="0">
                  <c:v>10502.463802207027</c:v>
                </c:pt>
                <c:pt idx="1">
                  <c:v>8044.7228736809147</c:v>
                </c:pt>
                <c:pt idx="2">
                  <c:v>6162.1317943247677</c:v>
                </c:pt>
                <c:pt idx="3">
                  <c:v>4720.0964964072036</c:v>
                </c:pt>
                <c:pt idx="4">
                  <c:v>3615.5200308949056</c:v>
                </c:pt>
                <c:pt idx="5">
                  <c:v>2769.4317486416435</c:v>
                </c:pt>
                <c:pt idx="6">
                  <c:v>2121.3413685571286</c:v>
                </c:pt>
                <c:pt idx="7">
                  <c:v>1624.9142822021322</c:v>
                </c:pt>
                <c:pt idx="8">
                  <c:v>1244.6589048043472</c:v>
                </c:pt>
                <c:pt idx="9">
                  <c:v>953.38923799061388</c:v>
                </c:pt>
                <c:pt idx="10">
                  <c:v>730.28123255921696</c:v>
                </c:pt>
                <c:pt idx="11">
                  <c:v>559.3839927879061</c:v>
                </c:pt>
                <c:pt idx="12">
                  <c:v>428.47938223849559</c:v>
                </c:pt>
                <c:pt idx="13">
                  <c:v>328.20849965417887</c:v>
                </c:pt>
                <c:pt idx="14">
                  <c:v>251.40257317046073</c:v>
                </c:pt>
                <c:pt idx="15">
                  <c:v>192.57043575447858</c:v>
                </c:pt>
                <c:pt idx="16">
                  <c:v>147.50593941425475</c:v>
                </c:pt>
                <c:pt idx="17">
                  <c:v>112.98724062826864</c:v>
                </c:pt>
                <c:pt idx="18">
                  <c:v>86.546457691700098</c:v>
                </c:pt>
                <c:pt idx="19">
                  <c:v>66.293231849289143</c:v>
                </c:pt>
                <c:pt idx="20">
                  <c:v>50.77957788496601</c:v>
                </c:pt>
                <c:pt idx="21">
                  <c:v>38.896361789050125</c:v>
                </c:pt>
                <c:pt idx="22">
                  <c:v>29.794004271796076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3D-4BAC-9061-FC40516FE0F3}"/>
            </c:ext>
          </c:extLst>
        </c:ser>
        <c:ser>
          <c:idx val="1"/>
          <c:order val="1"/>
          <c:tx>
            <c:strRef>
              <c:f>Multiexponential!$E$11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8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solidFill>
                    <a:srgbClr val="008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B3D-4BAC-9061-FC40516FE0F3}"/>
              </c:ext>
            </c:extLst>
          </c:dPt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Multiexponential!$E$12:$E$34</c:f>
              <c:numCache>
                <c:formatCode>0.00E+00</c:formatCode>
                <c:ptCount val="23"/>
                <c:pt idx="0">
                  <c:v>219.32464244583383</c:v>
                </c:pt>
                <c:pt idx="1">
                  <c:v>503.99772884009616</c:v>
                </c:pt>
                <c:pt idx="2">
                  <c:v>643.42395172567672</c:v>
                </c:pt>
                <c:pt idx="3">
                  <c:v>689.99374538835048</c:v>
                </c:pt>
                <c:pt idx="4">
                  <c:v>679.53138203496917</c:v>
                </c:pt>
                <c:pt idx="5">
                  <c:v>636.1793798455742</c:v>
                </c:pt>
                <c:pt idx="6">
                  <c:v>575.90407327711898</c:v>
                </c:pt>
                <c:pt idx="7">
                  <c:v>509.00019842137357</c:v>
                </c:pt>
                <c:pt idx="8">
                  <c:v>441.8710090197884</c:v>
                </c:pt>
                <c:pt idx="9">
                  <c:v>378.28583804412295</c:v>
                </c:pt>
                <c:pt idx="10">
                  <c:v>320.26219160385858</c:v>
                </c:pt>
                <c:pt idx="11">
                  <c:v>268.67923755128942</c:v>
                </c:pt>
                <c:pt idx="12">
                  <c:v>223.70009807870358</c:v>
                </c:pt>
                <c:pt idx="13">
                  <c:v>185.05883534858293</c:v>
                </c:pt>
                <c:pt idx="14">
                  <c:v>152.25233190621597</c:v>
                </c:pt>
                <c:pt idx="15">
                  <c:v>124.66586180635365</c:v>
                </c:pt>
                <c:pt idx="16">
                  <c:v>101.652879266073</c:v>
                </c:pt>
                <c:pt idx="17">
                  <c:v>82.583575782333156</c:v>
                </c:pt>
                <c:pt idx="18">
                  <c:v>66.872453558495351</c:v>
                </c:pt>
                <c:pt idx="19">
                  <c:v>53.992077114884069</c:v>
                </c:pt>
                <c:pt idx="20">
                  <c:v>43.477962113426706</c:v>
                </c:pt>
                <c:pt idx="21">
                  <c:v>34.927996373715985</c:v>
                </c:pt>
                <c:pt idx="22">
                  <c:v>27.998684457790343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3D-4BAC-9061-FC40516FE0F3}"/>
            </c:ext>
          </c:extLst>
        </c:ser>
        <c:ser>
          <c:idx val="2"/>
          <c:order val="2"/>
          <c:tx>
            <c:strRef>
              <c:f>Multiexponential!$F$11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Multiexponential!$F$12:$F$34</c:f>
              <c:numCache>
                <c:formatCode>0.00E+00</c:formatCode>
                <c:ptCount val="23"/>
                <c:pt idx="0">
                  <c:v>14.471457129576994</c:v>
                </c:pt>
                <c:pt idx="1">
                  <c:v>99.764186709410509</c:v>
                </c:pt>
                <c:pt idx="2">
                  <c:v>212.27168159730928</c:v>
                </c:pt>
                <c:pt idx="3">
                  <c:v>318.68969926490888</c:v>
                </c:pt>
                <c:pt idx="4">
                  <c:v>403.53095932550798</c:v>
                </c:pt>
                <c:pt idx="5">
                  <c:v>461.73958254019652</c:v>
                </c:pt>
                <c:pt idx="6">
                  <c:v>493.99020185376253</c:v>
                </c:pt>
                <c:pt idx="7">
                  <c:v>503.77202043451996</c:v>
                </c:pt>
                <c:pt idx="8">
                  <c:v>495.64332567875789</c:v>
                </c:pt>
                <c:pt idx="9">
                  <c:v>474.2403649299863</c:v>
                </c:pt>
                <c:pt idx="10">
                  <c:v>443.76168136441271</c:v>
                </c:pt>
                <c:pt idx="11">
                  <c:v>407.7432456418893</c:v>
                </c:pt>
                <c:pt idx="12">
                  <c:v>369.00395039144195</c:v>
                </c:pt>
                <c:pt idx="13">
                  <c:v>329.68441782442363</c:v>
                </c:pt>
                <c:pt idx="14">
                  <c:v>291.33105616934648</c:v>
                </c:pt>
                <c:pt idx="15">
                  <c:v>254.99641212472108</c:v>
                </c:pt>
                <c:pt idx="16">
                  <c:v>221.33926148809977</c:v>
                </c:pt>
                <c:pt idx="17">
                  <c:v>190.71575000639797</c:v>
                </c:pt>
                <c:pt idx="18">
                  <c:v>163.25775279553753</c:v>
                </c:pt>
                <c:pt idx="19">
                  <c:v>138.93749832700752</c:v>
                </c:pt>
                <c:pt idx="20">
                  <c:v>117.61910458105457</c:v>
                </c:pt>
                <c:pt idx="21">
                  <c:v>99.098472701582594</c:v>
                </c:pt>
                <c:pt idx="22">
                  <c:v>83.133290807479696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3D-4BAC-9061-FC40516FE0F3}"/>
            </c:ext>
          </c:extLst>
        </c:ser>
        <c:ser>
          <c:idx val="3"/>
          <c:order val="3"/>
          <c:tx>
            <c:strRef>
              <c:f>Multiexponential!$G$11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Multiexponential!$G$12:$G$34</c:f>
              <c:numCache>
                <c:formatCode>0.00E+00</c:formatCode>
                <c:ptCount val="23"/>
                <c:pt idx="0">
                  <c:v>0.63656951362987135</c:v>
                </c:pt>
                <c:pt idx="1">
                  <c:v>13.165261640756169</c:v>
                </c:pt>
                <c:pt idx="2">
                  <c:v>46.686964519841638</c:v>
                </c:pt>
                <c:pt idx="3">
                  <c:v>98.129512135790023</c:v>
                </c:pt>
                <c:pt idx="4">
                  <c:v>159.75444199650426</c:v>
                </c:pt>
                <c:pt idx="5">
                  <c:v>223.42067749942663</c:v>
                </c:pt>
                <c:pt idx="6">
                  <c:v>282.48491470569161</c:v>
                </c:pt>
                <c:pt idx="7">
                  <c:v>332.39836233172093</c:v>
                </c:pt>
                <c:pt idx="8">
                  <c:v>370.63954755311522</c:v>
                </c:pt>
                <c:pt idx="9">
                  <c:v>396.35623138270734</c:v>
                </c:pt>
                <c:pt idx="10">
                  <c:v>409.92335865223845</c:v>
                </c:pt>
                <c:pt idx="11">
                  <c:v>412.52301661963469</c:v>
                </c:pt>
                <c:pt idx="12">
                  <c:v>405.79304337656492</c:v>
                </c:pt>
                <c:pt idx="13">
                  <c:v>391.55769083381381</c:v>
                </c:pt>
                <c:pt idx="14">
                  <c:v>371.63649417217584</c:v>
                </c:pt>
                <c:pt idx="15">
                  <c:v>347.71973259465153</c:v>
                </c:pt>
                <c:pt idx="16">
                  <c:v>321.29648158064737</c:v>
                </c:pt>
                <c:pt idx="17">
                  <c:v>293.62171962110608</c:v>
                </c:pt>
                <c:pt idx="18">
                  <c:v>265.71074166370136</c:v>
                </c:pt>
                <c:pt idx="19">
                  <c:v>238.35137144650619</c:v>
                </c:pt>
                <c:pt idx="20">
                  <c:v>212.12668196296491</c:v>
                </c:pt>
                <c:pt idx="21">
                  <c:v>187.44289798763339</c:v>
                </c:pt>
                <c:pt idx="22">
                  <c:v>164.5587801550686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B3D-4BAC-9061-FC40516FE0F3}"/>
            </c:ext>
          </c:extLst>
        </c:ser>
        <c:ser>
          <c:idx val="4"/>
          <c:order val="4"/>
          <c:tx>
            <c:v>Total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Multiexponential!$C$12:$C$34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Multiexponential!$K$12:$K$34</c:f>
              <c:numCache>
                <c:formatCode>0.00E+00</c:formatCode>
                <c:ptCount val="23"/>
                <c:pt idx="0">
                  <c:v>10736.918262554615</c:v>
                </c:pt>
                <c:pt idx="1">
                  <c:v>8663.0784960730234</c:v>
                </c:pt>
                <c:pt idx="2">
                  <c:v>7073.4455201243145</c:v>
                </c:pt>
                <c:pt idx="3">
                  <c:v>5854.736113581127</c:v>
                </c:pt>
                <c:pt idx="4">
                  <c:v>4920.0445897977406</c:v>
                </c:pt>
                <c:pt idx="5">
                  <c:v>4202.5560009134842</c:v>
                </c:pt>
                <c:pt idx="6">
                  <c:v>3650.7584307706607</c:v>
                </c:pt>
                <c:pt idx="7">
                  <c:v>3224.8233570700331</c:v>
                </c:pt>
                <c:pt idx="8">
                  <c:v>2893.8850877741479</c:v>
                </c:pt>
                <c:pt idx="9">
                  <c:v>2634.0017450543432</c:v>
                </c:pt>
                <c:pt idx="10">
                  <c:v>2426.6249521829172</c:v>
                </c:pt>
                <c:pt idx="11">
                  <c:v>2257.44405410539</c:v>
                </c:pt>
                <c:pt idx="12">
                  <c:v>2115.5033443785142</c:v>
                </c:pt>
                <c:pt idx="13">
                  <c:v>1992.5174182089886</c:v>
                </c:pt>
                <c:pt idx="14">
                  <c:v>1882.3307666598428</c:v>
                </c:pt>
                <c:pt idx="15">
                  <c:v>1780.4836902710033</c:v>
                </c:pt>
                <c:pt idx="16">
                  <c:v>1683.8583235204235</c:v>
                </c:pt>
                <c:pt idx="17">
                  <c:v>1590.3868531795981</c:v>
                </c:pt>
                <c:pt idx="18">
                  <c:v>1498.8096705955224</c:v>
                </c:pt>
                <c:pt idx="19">
                  <c:v>1408.4749119657342</c:v>
                </c:pt>
                <c:pt idx="20">
                  <c:v>1319.1731838636483</c:v>
                </c:pt>
                <c:pt idx="21">
                  <c:v>1231.0026927759382</c:v>
                </c:pt>
                <c:pt idx="22">
                  <c:v>1144.2608332578529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B3D-4BAC-9061-FC40516FE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89856"/>
        <c:axId val="1515591936"/>
      </c:scatterChart>
      <c:valAx>
        <c:axId val="151558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47389739238962009"/>
              <c:y val="0.88919394306480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1936"/>
        <c:crossesAt val="1.0000000000000002E-3"/>
        <c:crossBetween val="midCat"/>
        <c:majorUnit val="1.0000000000000002E-2"/>
      </c:valAx>
      <c:valAx>
        <c:axId val="1515591936"/>
        <c:scaling>
          <c:logBase val="10"/>
          <c:orientation val="minMax"/>
          <c:min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-25000"/>
                  <a:t>att</a:t>
                </a:r>
                <a:r>
                  <a:rPr lang="en-US"/>
                  <a:t> (#/mL)</a:t>
                </a:r>
              </a:p>
            </c:rich>
          </c:tx>
          <c:layout>
            <c:manualLayout>
              <c:xMode val="edge"/>
              <c:yMode val="edge"/>
              <c:x val="0"/>
              <c:y val="0.21483965273571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917403984955759"/>
          <c:y val="2.0106047858498535E-2"/>
          <c:w val="0.22115032148140876"/>
          <c:h val="0.39327759287820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4614047019722"/>
          <c:y val="5.5569069250959016E-2"/>
          <c:w val="0.64517006611929506"/>
          <c:h val="0.725002866949323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Nonmonotonic!$D$11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Nonmonotonic!$C$12:$C$34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Nonmonotonic!$D$12:$D$34</c:f>
              <c:numCache>
                <c:formatCode>0.00E+00</c:formatCode>
                <c:ptCount val="23"/>
                <c:pt idx="0">
                  <c:v>1750.410633701171</c:v>
                </c:pt>
                <c:pt idx="1">
                  <c:v>1340.7871456134858</c:v>
                </c:pt>
                <c:pt idx="2">
                  <c:v>1027.0219657207947</c:v>
                </c:pt>
                <c:pt idx="3">
                  <c:v>786.68274940120068</c:v>
                </c:pt>
                <c:pt idx="4">
                  <c:v>602.58667181581757</c:v>
                </c:pt>
                <c:pt idx="5">
                  <c:v>461.5719581069406</c:v>
                </c:pt>
                <c:pt idx="6">
                  <c:v>353.55689475952147</c:v>
                </c:pt>
                <c:pt idx="7">
                  <c:v>270.81904703368872</c:v>
                </c:pt>
                <c:pt idx="8">
                  <c:v>207.44315080072454</c:v>
                </c:pt>
                <c:pt idx="9">
                  <c:v>158.89820633176899</c:v>
                </c:pt>
                <c:pt idx="10">
                  <c:v>121.71353875986949</c:v>
                </c:pt>
                <c:pt idx="11">
                  <c:v>93.230665464651025</c:v>
                </c:pt>
                <c:pt idx="12">
                  <c:v>71.413230373082598</c:v>
                </c:pt>
                <c:pt idx="13">
                  <c:v>54.701416609029813</c:v>
                </c:pt>
                <c:pt idx="14">
                  <c:v>41.900428861743457</c:v>
                </c:pt>
                <c:pt idx="15">
                  <c:v>32.095072625746432</c:v>
                </c:pt>
                <c:pt idx="16">
                  <c:v>24.584323235709125</c:v>
                </c:pt>
                <c:pt idx="17">
                  <c:v>18.831206771378106</c:v>
                </c:pt>
                <c:pt idx="18">
                  <c:v>14.42440961528335</c:v>
                </c:pt>
                <c:pt idx="19">
                  <c:v>11.048871974881525</c:v>
                </c:pt>
                <c:pt idx="20">
                  <c:v>8.4632629808276683</c:v>
                </c:pt>
                <c:pt idx="21">
                  <c:v>6.4827269648416888</c:v>
                </c:pt>
                <c:pt idx="22">
                  <c:v>4.9656673786326797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52-49FB-B8C5-3CE3A8955E7A}"/>
            </c:ext>
          </c:extLst>
        </c:ser>
        <c:ser>
          <c:idx val="1"/>
          <c:order val="1"/>
          <c:tx>
            <c:strRef>
              <c:f>Nonmonotonic!$E$11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8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solidFill>
                    <a:srgbClr val="008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E52-49FB-B8C5-3CE3A8955E7A}"/>
              </c:ext>
            </c:extLst>
          </c:dPt>
          <c:xVal>
            <c:numRef>
              <c:f>Nonmonotonic!$C$12:$C$34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Nonmonotonic!$E$12:$E$34</c:f>
              <c:numCache>
                <c:formatCode>0.00E+00</c:formatCode>
                <c:ptCount val="23"/>
                <c:pt idx="0">
                  <c:v>1385.9450809875029</c:v>
                </c:pt>
                <c:pt idx="1">
                  <c:v>3184.8367120320968</c:v>
                </c:pt>
                <c:pt idx="2">
                  <c:v>4065.8917800537447</c:v>
                </c:pt>
                <c:pt idx="3">
                  <c:v>4360.1732421348952</c:v>
                </c:pt>
                <c:pt idx="4">
                  <c:v>4294.0600098805508</c:v>
                </c:pt>
                <c:pt idx="5">
                  <c:v>4020.1122513645855</c:v>
                </c:pt>
                <c:pt idx="6">
                  <c:v>3639.2236119851987</c:v>
                </c:pt>
                <c:pt idx="7">
                  <c:v>3216.4480623648501</c:v>
                </c:pt>
                <c:pt idx="8">
                  <c:v>2792.2487165718544</c:v>
                </c:pt>
                <c:pt idx="9">
                  <c:v>2390.4445510447772</c:v>
                </c:pt>
                <c:pt idx="10">
                  <c:v>2023.7844873690635</c:v>
                </c:pt>
                <c:pt idx="11">
                  <c:v>1697.8241181432545</c:v>
                </c:pt>
                <c:pt idx="12">
                  <c:v>1413.5942367952118</c:v>
                </c:pt>
                <c:pt idx="13">
                  <c:v>1169.4143425218965</c:v>
                </c:pt>
                <c:pt idx="14">
                  <c:v>962.10516119459885</c:v>
                </c:pt>
                <c:pt idx="15">
                  <c:v>787.78214801036245</c:v>
                </c:pt>
                <c:pt idx="16">
                  <c:v>642.35968387284436</c:v>
                </c:pt>
                <c:pt idx="17">
                  <c:v>521.85791505006273</c:v>
                </c:pt>
                <c:pt idx="18">
                  <c:v>422.57699376325786</c:v>
                </c:pt>
                <c:pt idx="19">
                  <c:v>341.18397666213974</c:v>
                </c:pt>
                <c:pt idx="20">
                  <c:v>274.74371803590913</c:v>
                </c:pt>
                <c:pt idx="21">
                  <c:v>220.71521112752438</c:v>
                </c:pt>
                <c:pt idx="22">
                  <c:v>176.92785710561134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52-49FB-B8C5-3CE3A8955E7A}"/>
            </c:ext>
          </c:extLst>
        </c:ser>
        <c:ser>
          <c:idx val="2"/>
          <c:order val="2"/>
          <c:tx>
            <c:strRef>
              <c:f>Nonmonotonic!$F$11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Nonmonotonic!$C$12:$C$34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Nonmonotonic!$F$12:$F$34</c:f>
              <c:numCache>
                <c:formatCode>0.00E+00</c:formatCode>
                <c:ptCount val="23"/>
                <c:pt idx="0">
                  <c:v>86.828742777461954</c:v>
                </c:pt>
                <c:pt idx="1">
                  <c:v>598.58512025646303</c:v>
                </c:pt>
                <c:pt idx="2">
                  <c:v>1273.6300895838556</c:v>
                </c:pt>
                <c:pt idx="3">
                  <c:v>1912.1381955894528</c:v>
                </c:pt>
                <c:pt idx="4">
                  <c:v>2421.1857559530476</c:v>
                </c:pt>
                <c:pt idx="5">
                  <c:v>2770.4374952411786</c:v>
                </c:pt>
                <c:pt idx="6">
                  <c:v>2963.9412111225747</c:v>
                </c:pt>
                <c:pt idx="7">
                  <c:v>3022.63212260712</c:v>
                </c:pt>
                <c:pt idx="8">
                  <c:v>2973.8599540725472</c:v>
                </c:pt>
                <c:pt idx="9">
                  <c:v>2845.4421895799178</c:v>
                </c:pt>
                <c:pt idx="10">
                  <c:v>2662.5700881864768</c:v>
                </c:pt>
                <c:pt idx="11">
                  <c:v>2446.4594738513356</c:v>
                </c:pt>
                <c:pt idx="12">
                  <c:v>2214.0237023486516</c:v>
                </c:pt>
                <c:pt idx="13">
                  <c:v>1978.1065069465419</c:v>
                </c:pt>
                <c:pt idx="14">
                  <c:v>1747.9863370160786</c:v>
                </c:pt>
                <c:pt idx="15">
                  <c:v>1529.9784727483263</c:v>
                </c:pt>
                <c:pt idx="16">
                  <c:v>1328.0355689285984</c:v>
                </c:pt>
                <c:pt idx="17">
                  <c:v>1144.2945000383877</c:v>
                </c:pt>
                <c:pt idx="18">
                  <c:v>979.54651677322488</c:v>
                </c:pt>
                <c:pt idx="19">
                  <c:v>833.62498996204488</c:v>
                </c:pt>
                <c:pt idx="20">
                  <c:v>705.71462748632746</c:v>
                </c:pt>
                <c:pt idx="21">
                  <c:v>594.59083620949548</c:v>
                </c:pt>
                <c:pt idx="22">
                  <c:v>498.79974484487821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52-49FB-B8C5-3CE3A8955E7A}"/>
            </c:ext>
          </c:extLst>
        </c:ser>
        <c:ser>
          <c:idx val="3"/>
          <c:order val="3"/>
          <c:tx>
            <c:strRef>
              <c:f>Nonmonotonic!$G$11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Nonmonotonic!$C$12:$C$34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Nonmonotonic!$G$12:$G$34</c:f>
              <c:numCache>
                <c:formatCode>0.00E+00</c:formatCode>
                <c:ptCount val="23"/>
                <c:pt idx="0">
                  <c:v>3.6265172291641159</c:v>
                </c:pt>
                <c:pt idx="1">
                  <c:v>75.00209662006543</c:v>
                </c:pt>
                <c:pt idx="2">
                  <c:v>265.97422211303723</c:v>
                </c:pt>
                <c:pt idx="3">
                  <c:v>559.04085701601582</c:v>
                </c:pt>
                <c:pt idx="4">
                  <c:v>910.11621501038792</c:v>
                </c:pt>
                <c:pt idx="5">
                  <c:v>1272.8208293906725</c:v>
                </c:pt>
                <c:pt idx="6">
                  <c:v>1609.3079989293947</c:v>
                </c:pt>
                <c:pt idx="7">
                  <c:v>1893.6633975261675</c:v>
                </c:pt>
                <c:pt idx="8">
                  <c:v>2111.5222709086561</c:v>
                </c:pt>
                <c:pt idx="9">
                  <c:v>2258.0294393923928</c:v>
                </c:pt>
                <c:pt idx="10">
                  <c:v>2335.3209523218429</c:v>
                </c:pt>
                <c:pt idx="11">
                  <c:v>2350.1311249845853</c:v>
                </c:pt>
                <c:pt idx="12">
                  <c:v>2311.7906713573998</c:v>
                </c:pt>
                <c:pt idx="13">
                  <c:v>2230.6922992956665</c:v>
                </c:pt>
                <c:pt idx="14">
                  <c:v>2117.2018455869406</c:v>
                </c:pt>
                <c:pt idx="15">
                  <c:v>1980.9487796301357</c:v>
                </c:pt>
                <c:pt idx="16">
                  <c:v>1830.4163193079305</c:v>
                </c:pt>
                <c:pt idx="17">
                  <c:v>1672.7540390535739</c:v>
                </c:pt>
                <c:pt idx="18">
                  <c:v>1513.74604341745</c:v>
                </c:pt>
                <c:pt idx="19">
                  <c:v>1357.8805403619135</c:v>
                </c:pt>
                <c:pt idx="20">
                  <c:v>1208.4792790617394</c:v>
                </c:pt>
                <c:pt idx="21">
                  <c:v>1067.8565097477294</c:v>
                </c:pt>
                <c:pt idx="22">
                  <c:v>937.48638391372424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52-49FB-B8C5-3CE3A8955E7A}"/>
            </c:ext>
          </c:extLst>
        </c:ser>
        <c:ser>
          <c:idx val="4"/>
          <c:order val="4"/>
          <c:tx>
            <c:v>Total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Nonmonotonic!$C$12:$C$34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Nonmonotonic!$H$12:$H$34</c:f>
              <c:numCache>
                <c:formatCode>0.00E+00</c:formatCode>
                <c:ptCount val="23"/>
                <c:pt idx="0">
                  <c:v>3226.8109746953005</c:v>
                </c:pt>
                <c:pt idx="1">
                  <c:v>5199.2110745221107</c:v>
                </c:pt>
                <c:pt idx="2">
                  <c:v>6632.5180574714323</c:v>
                </c:pt>
                <c:pt idx="3">
                  <c:v>7618.0350441415649</c:v>
                </c:pt>
                <c:pt idx="4">
                  <c:v>8227.9486526598048</c:v>
                </c:pt>
                <c:pt idx="5">
                  <c:v>8524.9425341033766</c:v>
                </c:pt>
                <c:pt idx="6">
                  <c:v>8566.0297167966892</c:v>
                </c:pt>
                <c:pt idx="7">
                  <c:v>8403.5626295318252</c:v>
                </c:pt>
                <c:pt idx="8">
                  <c:v>8085.0740923537815</c:v>
                </c:pt>
                <c:pt idx="9">
                  <c:v>7652.8143863488567</c:v>
                </c:pt>
                <c:pt idx="10">
                  <c:v>7143.3890666372527</c:v>
                </c:pt>
                <c:pt idx="11">
                  <c:v>6587.6453824438267</c:v>
                </c:pt>
                <c:pt idx="12">
                  <c:v>6010.8218408743451</c:v>
                </c:pt>
                <c:pt idx="13">
                  <c:v>5432.9145653731348</c:v>
                </c:pt>
                <c:pt idx="14">
                  <c:v>4869.1937726593615</c:v>
                </c:pt>
                <c:pt idx="15">
                  <c:v>4330.8044730145712</c:v>
                </c:pt>
                <c:pt idx="16">
                  <c:v>3825.3958953450824</c:v>
                </c:pt>
                <c:pt idx="17">
                  <c:v>3357.7376609134026</c:v>
                </c:pt>
                <c:pt idx="18">
                  <c:v>2930.293963569216</c:v>
                </c:pt>
                <c:pt idx="19">
                  <c:v>2543.7383789609794</c:v>
                </c:pt>
                <c:pt idx="20">
                  <c:v>2197.4008875648037</c:v>
                </c:pt>
                <c:pt idx="21">
                  <c:v>1889.6452840495911</c:v>
                </c:pt>
                <c:pt idx="22">
                  <c:v>1618.1796532428466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E52-49FB-B8C5-3CE3A8955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89856"/>
        <c:axId val="1515591936"/>
      </c:scatterChart>
      <c:valAx>
        <c:axId val="151558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47389739238962009"/>
              <c:y val="0.88919394306480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1936"/>
        <c:crossesAt val="1.0000000000000002E-3"/>
        <c:crossBetween val="midCat"/>
        <c:majorUnit val="1.0000000000000002E-2"/>
      </c:valAx>
      <c:valAx>
        <c:axId val="1515591936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-25000"/>
                  <a:t>att</a:t>
                </a:r>
                <a:r>
                  <a:rPr lang="en-US"/>
                  <a:t> (#/mL)</a:t>
                </a:r>
              </a:p>
            </c:rich>
          </c:tx>
          <c:layout>
            <c:manualLayout>
              <c:xMode val="edge"/>
              <c:yMode val="edge"/>
              <c:x val="0"/>
              <c:y val="0.21483965273571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65369055047994"/>
          <c:y val="0.35901795780682055"/>
          <c:w val="0.22115032148140876"/>
          <c:h val="0.39327759287820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4614047019722"/>
          <c:y val="5.5569069250959016E-2"/>
          <c:w val="0.64517006611929506"/>
          <c:h val="0.725002866949323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'Multiexponential-eta'!$D$14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'Multiexponential-eta'!$D$15:$D$37</c:f>
              <c:numCache>
                <c:formatCode>0.00E+00</c:formatCode>
                <c:ptCount val="23"/>
                <c:pt idx="0">
                  <c:v>10502.463802207027</c:v>
                </c:pt>
                <c:pt idx="1">
                  <c:v>8044.7228736809147</c:v>
                </c:pt>
                <c:pt idx="2">
                  <c:v>6162.1317943247677</c:v>
                </c:pt>
                <c:pt idx="3">
                  <c:v>4720.0964964072036</c:v>
                </c:pt>
                <c:pt idx="4">
                  <c:v>3615.5200308949056</c:v>
                </c:pt>
                <c:pt idx="5">
                  <c:v>2769.4317486416435</c:v>
                </c:pt>
                <c:pt idx="6">
                  <c:v>2121.3413685571286</c:v>
                </c:pt>
                <c:pt idx="7">
                  <c:v>1624.9142822021322</c:v>
                </c:pt>
                <c:pt idx="8">
                  <c:v>1244.6589048043472</c:v>
                </c:pt>
                <c:pt idx="9">
                  <c:v>953.38923799061388</c:v>
                </c:pt>
                <c:pt idx="10">
                  <c:v>730.28123255921696</c:v>
                </c:pt>
                <c:pt idx="11">
                  <c:v>559.3839927879061</c:v>
                </c:pt>
                <c:pt idx="12">
                  <c:v>428.47938223849559</c:v>
                </c:pt>
                <c:pt idx="13">
                  <c:v>328.20849965417887</c:v>
                </c:pt>
                <c:pt idx="14">
                  <c:v>251.40257317046073</c:v>
                </c:pt>
                <c:pt idx="15">
                  <c:v>192.57043575447858</c:v>
                </c:pt>
                <c:pt idx="16">
                  <c:v>147.50593941425475</c:v>
                </c:pt>
                <c:pt idx="17">
                  <c:v>112.98724062826864</c:v>
                </c:pt>
                <c:pt idx="18">
                  <c:v>86.546457691700098</c:v>
                </c:pt>
                <c:pt idx="19">
                  <c:v>66.293231849289143</c:v>
                </c:pt>
                <c:pt idx="20">
                  <c:v>50.77957788496601</c:v>
                </c:pt>
                <c:pt idx="21">
                  <c:v>38.896361789050125</c:v>
                </c:pt>
                <c:pt idx="22">
                  <c:v>29.794004271796076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C-4DC4-89F0-FBAA7F433201}"/>
            </c:ext>
          </c:extLst>
        </c:ser>
        <c:ser>
          <c:idx val="1"/>
          <c:order val="1"/>
          <c:tx>
            <c:strRef>
              <c:f>'Multiexponential-eta'!$E$14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8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solidFill>
                    <a:srgbClr val="008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10C-4DC4-89F0-FBAA7F433201}"/>
              </c:ext>
            </c:extLst>
          </c:dPt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'Multiexponential-eta'!$E$15:$E$37</c:f>
              <c:numCache>
                <c:formatCode>0.00E+00</c:formatCode>
                <c:ptCount val="23"/>
                <c:pt idx="0">
                  <c:v>56.192294114018928</c:v>
                </c:pt>
                <c:pt idx="1">
                  <c:v>151.77355952063317</c:v>
                </c:pt>
                <c:pt idx="2">
                  <c:v>227.74191662119264</c:v>
                </c:pt>
                <c:pt idx="3">
                  <c:v>287.05763922314998</c:v>
                </c:pt>
                <c:pt idx="4">
                  <c:v>332.28572183187759</c:v>
                </c:pt>
                <c:pt idx="5">
                  <c:v>365.64526844838417</c:v>
                </c:pt>
                <c:pt idx="6">
                  <c:v>389.05296280180517</c:v>
                </c:pt>
                <c:pt idx="7">
                  <c:v>404.16130920470749</c:v>
                </c:pt>
                <c:pt idx="8">
                  <c:v>412.39225463069039</c:v>
                </c:pt>
                <c:pt idx="9">
                  <c:v>414.9667328447199</c:v>
                </c:pt>
                <c:pt idx="10">
                  <c:v>412.93060948973317</c:v>
                </c:pt>
                <c:pt idx="11">
                  <c:v>407.1774520780989</c:v>
                </c:pt>
                <c:pt idx="12">
                  <c:v>398.46850007892493</c:v>
                </c:pt>
                <c:pt idx="13">
                  <c:v>387.45016704249088</c:v>
                </c:pt>
                <c:pt idx="14">
                  <c:v>374.66936834766926</c:v>
                </c:pt>
                <c:pt idx="15">
                  <c:v>360.58693415108928</c:v>
                </c:pt>
                <c:pt idx="16">
                  <c:v>345.58933697222432</c:v>
                </c:pt>
                <c:pt idx="17">
                  <c:v>329.99893663440997</c:v>
                </c:pt>
                <c:pt idx="18">
                  <c:v>314.0829216136612</c:v>
                </c:pt>
                <c:pt idx="19">
                  <c:v>298.06110488323833</c:v>
                </c:pt>
                <c:pt idx="20">
                  <c:v>282.11271377826142</c:v>
                </c:pt>
                <c:pt idx="21">
                  <c:v>266.38229697108369</c:v>
                </c:pt>
                <c:pt idx="22">
                  <c:v>250.98485710440474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0C-4DC4-89F0-FBAA7F433201}"/>
            </c:ext>
          </c:extLst>
        </c:ser>
        <c:ser>
          <c:idx val="2"/>
          <c:order val="2"/>
          <c:tx>
            <c:strRef>
              <c:f>'Multiexponential-eta'!$F$14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'Multiexponential-eta'!$F$15:$F$37</c:f>
              <c:numCache>
                <c:formatCode>0.00E+00</c:formatCode>
                <c:ptCount val="23"/>
                <c:pt idx="0">
                  <c:v>1.4662288620862489</c:v>
                </c:pt>
                <c:pt idx="1">
                  <c:v>11.880709462716133</c:v>
                </c:pt>
                <c:pt idx="2">
                  <c:v>29.712416668669658</c:v>
                </c:pt>
                <c:pt idx="3">
                  <c:v>52.431484003858046</c:v>
                </c:pt>
                <c:pt idx="4">
                  <c:v>78.03315937563076</c:v>
                </c:pt>
                <c:pt idx="5">
                  <c:v>104.94884036521265</c:v>
                </c:pt>
                <c:pt idx="6">
                  <c:v>131.97056634091376</c:v>
                </c:pt>
                <c:pt idx="7">
                  <c:v>158.1870750708502</c:v>
                </c:pt>
                <c:pt idx="8">
                  <c:v>182.9297843798355</c:v>
                </c:pt>
                <c:pt idx="9">
                  <c:v>205.72727972436721</c:v>
                </c:pt>
                <c:pt idx="10">
                  <c:v>226.26708041725871</c:v>
                </c:pt>
                <c:pt idx="11">
                  <c:v>244.36362418971294</c:v>
                </c:pt>
                <c:pt idx="12">
                  <c:v>259.931554966617</c:v>
                </c:pt>
                <c:pt idx="13">
                  <c:v>272.96352489895929</c:v>
                </c:pt>
                <c:pt idx="14">
                  <c:v>283.51183125559203</c:v>
                </c:pt>
                <c:pt idx="15">
                  <c:v>291.67330383758457</c:v>
                </c:pt>
                <c:pt idx="16">
                  <c:v>297.5769409930507</c:v>
                </c:pt>
                <c:pt idx="17">
                  <c:v>301.37386369966845</c:v>
                </c:pt>
                <c:pt idx="18">
                  <c:v>303.22921896522132</c:v>
                </c:pt>
                <c:pt idx="19">
                  <c:v>303.3157172151752</c:v>
                </c:pt>
                <c:pt idx="20">
                  <c:v>301.80853447659291</c:v>
                </c:pt>
                <c:pt idx="21">
                  <c:v>298.88134997903296</c:v>
                </c:pt>
                <c:pt idx="22">
                  <c:v>294.70332410501811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0C-4DC4-89F0-FBAA7F433201}"/>
            </c:ext>
          </c:extLst>
        </c:ser>
        <c:ser>
          <c:idx val="3"/>
          <c:order val="3"/>
          <c:tx>
            <c:strRef>
              <c:f>'Multiexponential-eta'!$G$14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'Multiexponential-eta'!$G$15:$G$37</c:f>
              <c:numCache>
                <c:formatCode>0.00E+00</c:formatCode>
                <c:ptCount val="23"/>
                <c:pt idx="0">
                  <c:v>2.5505597756311046E-2</c:v>
                </c:pt>
                <c:pt idx="1">
                  <c:v>0.62000811288997315</c:v>
                </c:pt>
                <c:pt idx="2">
                  <c:v>2.5842928328416064</c:v>
                </c:pt>
                <c:pt idx="3">
                  <c:v>6.3844564975091656</c:v>
                </c:pt>
                <c:pt idx="4">
                  <c:v>12.216743126112922</c:v>
                </c:pt>
                <c:pt idx="5">
                  <c:v>20.081866304906029</c:v>
                </c:pt>
                <c:pt idx="6">
                  <c:v>29.843803707198347</c:v>
                </c:pt>
                <c:pt idx="7">
                  <c:v>41.27584729095809</c:v>
                </c:pt>
                <c:pt idx="8">
                  <c:v>54.096240714996767</c:v>
                </c:pt>
                <c:pt idx="9">
                  <c:v>67.995352033236401</c:v>
                </c:pt>
                <c:pt idx="10">
                  <c:v>82.656004833055988</c:v>
                </c:pt>
                <c:pt idx="11">
                  <c:v>97.768316201159791</c:v>
                </c:pt>
                <c:pt idx="12">
                  <c:v>113.04015792796827</c:v>
                </c:pt>
                <c:pt idx="13">
                  <c:v>128.20416191672206</c:v>
                </c:pt>
                <c:pt idx="14">
                  <c:v>143.02202644494955</c:v>
                </c:pt>
                <c:pt idx="15">
                  <c:v>157.28674209418324</c:v>
                </c:pt>
                <c:pt idx="16">
                  <c:v>170.82324083762396</c:v>
                </c:pt>
                <c:pt idx="17">
                  <c:v>183.4878755420321</c:v>
                </c:pt>
                <c:pt idx="18">
                  <c:v>195.16705707706723</c:v>
                </c:pt>
                <c:pt idx="19">
                  <c:v>205.7753098329645</c:v>
                </c:pt>
                <c:pt idx="20">
                  <c:v>215.25295159036713</c:v>
                </c:pt>
                <c:pt idx="21">
                  <c:v>223.56355854229594</c:v>
                </c:pt>
                <c:pt idx="22">
                  <c:v>230.69133928511448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0C-4DC4-89F0-FBAA7F433201}"/>
            </c:ext>
          </c:extLst>
        </c:ser>
        <c:ser>
          <c:idx val="4"/>
          <c:order val="4"/>
          <c:tx>
            <c:v>Total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'Multiexponential-eta'!$H$15:$H$37</c:f>
              <c:numCache>
                <c:formatCode>0.00E+00</c:formatCode>
                <c:ptCount val="23"/>
                <c:pt idx="0">
                  <c:v>10560.147830780887</c:v>
                </c:pt>
                <c:pt idx="1">
                  <c:v>8208.9971507771534</c:v>
                </c:pt>
                <c:pt idx="2">
                  <c:v>6422.1704204474727</c:v>
                </c:pt>
                <c:pt idx="3">
                  <c:v>5065.9700761317199</c:v>
                </c:pt>
                <c:pt idx="4">
                  <c:v>4038.055655228527</c:v>
                </c:pt>
                <c:pt idx="5">
                  <c:v>3260.1077237601462</c:v>
                </c:pt>
                <c:pt idx="6">
                  <c:v>2672.2087014070457</c:v>
                </c:pt>
                <c:pt idx="7">
                  <c:v>2228.538513768648</c:v>
                </c:pt>
                <c:pt idx="8">
                  <c:v>1894.07718452987</c:v>
                </c:pt>
                <c:pt idx="9">
                  <c:v>1642.0786025929374</c:v>
                </c:pt>
                <c:pt idx="10">
                  <c:v>1452.1349272992647</c:v>
                </c:pt>
                <c:pt idx="11">
                  <c:v>1308.6933852568777</c:v>
                </c:pt>
                <c:pt idx="12">
                  <c:v>1199.9195952120058</c:v>
                </c:pt>
                <c:pt idx="13">
                  <c:v>1116.8263535123513</c:v>
                </c:pt>
                <c:pt idx="14">
                  <c:v>1052.6057992186716</c:v>
                </c:pt>
                <c:pt idx="15">
                  <c:v>1002.1174158373356</c:v>
                </c:pt>
                <c:pt idx="16">
                  <c:v>961.49545821715378</c:v>
                </c:pt>
                <c:pt idx="17">
                  <c:v>927.8479165043791</c:v>
                </c:pt>
                <c:pt idx="18">
                  <c:v>899.02565534764994</c:v>
                </c:pt>
                <c:pt idx="19">
                  <c:v>873.44536378066709</c:v>
                </c:pt>
                <c:pt idx="20">
                  <c:v>849.95377773018743</c:v>
                </c:pt>
                <c:pt idx="21">
                  <c:v>827.72356728146269</c:v>
                </c:pt>
                <c:pt idx="22">
                  <c:v>806.17352476633346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0C-4DC4-89F0-FBAA7F433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89856"/>
        <c:axId val="1515591936"/>
      </c:scatterChart>
      <c:valAx>
        <c:axId val="151558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47389739238962009"/>
              <c:y val="0.88919394306480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1936"/>
        <c:crossesAt val="1.0000000000000002E-3"/>
        <c:crossBetween val="midCat"/>
        <c:majorUnit val="1.0000000000000002E-2"/>
      </c:valAx>
      <c:valAx>
        <c:axId val="1515591936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-25000"/>
                  <a:t>att</a:t>
                </a:r>
                <a:r>
                  <a:rPr lang="en-US"/>
                  <a:t> (#/mL)</a:t>
                </a:r>
              </a:p>
            </c:rich>
          </c:tx>
          <c:layout>
            <c:manualLayout>
              <c:xMode val="edge"/>
              <c:yMode val="edge"/>
              <c:x val="0"/>
              <c:y val="0.21483965273571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250513796397746"/>
          <c:y val="0.40865174075371896"/>
          <c:w val="0.22115032148140876"/>
          <c:h val="0.35713368398022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4614047019722"/>
          <c:y val="5.5569069250959016E-2"/>
          <c:w val="0.64517006611929506"/>
          <c:h val="0.725002866949323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'Multiexponential-eta'!$D$14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'Multiexponential-eta'!$D$15:$D$37</c:f>
              <c:numCache>
                <c:formatCode>0.00E+00</c:formatCode>
                <c:ptCount val="23"/>
                <c:pt idx="0">
                  <c:v>10502.463802207027</c:v>
                </c:pt>
                <c:pt idx="1">
                  <c:v>8044.7228736809147</c:v>
                </c:pt>
                <c:pt idx="2">
                  <c:v>6162.1317943247677</c:v>
                </c:pt>
                <c:pt idx="3">
                  <c:v>4720.0964964072036</c:v>
                </c:pt>
                <c:pt idx="4">
                  <c:v>3615.5200308949056</c:v>
                </c:pt>
                <c:pt idx="5">
                  <c:v>2769.4317486416435</c:v>
                </c:pt>
                <c:pt idx="6">
                  <c:v>2121.3413685571286</c:v>
                </c:pt>
                <c:pt idx="7">
                  <c:v>1624.9142822021322</c:v>
                </c:pt>
                <c:pt idx="8">
                  <c:v>1244.6589048043472</c:v>
                </c:pt>
                <c:pt idx="9">
                  <c:v>953.38923799061388</c:v>
                </c:pt>
                <c:pt idx="10">
                  <c:v>730.28123255921696</c:v>
                </c:pt>
                <c:pt idx="11">
                  <c:v>559.3839927879061</c:v>
                </c:pt>
                <c:pt idx="12">
                  <c:v>428.47938223849559</c:v>
                </c:pt>
                <c:pt idx="13">
                  <c:v>328.20849965417887</c:v>
                </c:pt>
                <c:pt idx="14">
                  <c:v>251.40257317046073</c:v>
                </c:pt>
                <c:pt idx="15">
                  <c:v>192.57043575447858</c:v>
                </c:pt>
                <c:pt idx="16">
                  <c:v>147.50593941425475</c:v>
                </c:pt>
                <c:pt idx="17">
                  <c:v>112.98724062826864</c:v>
                </c:pt>
                <c:pt idx="18">
                  <c:v>86.546457691700098</c:v>
                </c:pt>
                <c:pt idx="19">
                  <c:v>66.293231849289143</c:v>
                </c:pt>
                <c:pt idx="20">
                  <c:v>50.77957788496601</c:v>
                </c:pt>
                <c:pt idx="21">
                  <c:v>38.896361789050125</c:v>
                </c:pt>
                <c:pt idx="22">
                  <c:v>29.794004271796076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CE-4249-955C-214C92DEC6DD}"/>
            </c:ext>
          </c:extLst>
        </c:ser>
        <c:ser>
          <c:idx val="1"/>
          <c:order val="1"/>
          <c:tx>
            <c:strRef>
              <c:f>'Multiexponential-eta'!$E$14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8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solidFill>
                    <a:srgbClr val="008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0CE-4249-955C-214C92DEC6DD}"/>
              </c:ext>
            </c:extLst>
          </c:dPt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'Multiexponential-eta'!$E$15:$E$37</c:f>
              <c:numCache>
                <c:formatCode>0.00E+00</c:formatCode>
                <c:ptCount val="23"/>
                <c:pt idx="0">
                  <c:v>56.192294114018928</c:v>
                </c:pt>
                <c:pt idx="1">
                  <c:v>151.77355952063317</c:v>
                </c:pt>
                <c:pt idx="2">
                  <c:v>227.74191662119264</c:v>
                </c:pt>
                <c:pt idx="3">
                  <c:v>287.05763922314998</c:v>
                </c:pt>
                <c:pt idx="4">
                  <c:v>332.28572183187759</c:v>
                </c:pt>
                <c:pt idx="5">
                  <c:v>365.64526844838417</c:v>
                </c:pt>
                <c:pt idx="6">
                  <c:v>389.05296280180517</c:v>
                </c:pt>
                <c:pt idx="7">
                  <c:v>404.16130920470749</c:v>
                </c:pt>
                <c:pt idx="8">
                  <c:v>412.39225463069039</c:v>
                </c:pt>
                <c:pt idx="9">
                  <c:v>414.9667328447199</c:v>
                </c:pt>
                <c:pt idx="10">
                  <c:v>412.93060948973317</c:v>
                </c:pt>
                <c:pt idx="11">
                  <c:v>407.1774520780989</c:v>
                </c:pt>
                <c:pt idx="12">
                  <c:v>398.46850007892493</c:v>
                </c:pt>
                <c:pt idx="13">
                  <c:v>387.45016704249088</c:v>
                </c:pt>
                <c:pt idx="14">
                  <c:v>374.66936834766926</c:v>
                </c:pt>
                <c:pt idx="15">
                  <c:v>360.58693415108928</c:v>
                </c:pt>
                <c:pt idx="16">
                  <c:v>345.58933697222432</c:v>
                </c:pt>
                <c:pt idx="17">
                  <c:v>329.99893663440997</c:v>
                </c:pt>
                <c:pt idx="18">
                  <c:v>314.0829216136612</c:v>
                </c:pt>
                <c:pt idx="19">
                  <c:v>298.06110488323833</c:v>
                </c:pt>
                <c:pt idx="20">
                  <c:v>282.11271377826142</c:v>
                </c:pt>
                <c:pt idx="21">
                  <c:v>266.38229697108369</c:v>
                </c:pt>
                <c:pt idx="22">
                  <c:v>250.98485710440474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CE-4249-955C-214C92DEC6DD}"/>
            </c:ext>
          </c:extLst>
        </c:ser>
        <c:ser>
          <c:idx val="2"/>
          <c:order val="2"/>
          <c:tx>
            <c:strRef>
              <c:f>'Multiexponential-eta'!$F$14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'Multiexponential-eta'!$F$15:$F$37</c:f>
              <c:numCache>
                <c:formatCode>0.00E+00</c:formatCode>
                <c:ptCount val="23"/>
                <c:pt idx="0">
                  <c:v>1.4662288620862489</c:v>
                </c:pt>
                <c:pt idx="1">
                  <c:v>11.880709462716133</c:v>
                </c:pt>
                <c:pt idx="2">
                  <c:v>29.712416668669658</c:v>
                </c:pt>
                <c:pt idx="3">
                  <c:v>52.431484003858046</c:v>
                </c:pt>
                <c:pt idx="4">
                  <c:v>78.03315937563076</c:v>
                </c:pt>
                <c:pt idx="5">
                  <c:v>104.94884036521265</c:v>
                </c:pt>
                <c:pt idx="6">
                  <c:v>131.97056634091376</c:v>
                </c:pt>
                <c:pt idx="7">
                  <c:v>158.1870750708502</c:v>
                </c:pt>
                <c:pt idx="8">
                  <c:v>182.9297843798355</c:v>
                </c:pt>
                <c:pt idx="9">
                  <c:v>205.72727972436721</c:v>
                </c:pt>
                <c:pt idx="10">
                  <c:v>226.26708041725871</c:v>
                </c:pt>
                <c:pt idx="11">
                  <c:v>244.36362418971294</c:v>
                </c:pt>
                <c:pt idx="12">
                  <c:v>259.931554966617</c:v>
                </c:pt>
                <c:pt idx="13">
                  <c:v>272.96352489895929</c:v>
                </c:pt>
                <c:pt idx="14">
                  <c:v>283.51183125559203</c:v>
                </c:pt>
                <c:pt idx="15">
                  <c:v>291.67330383758457</c:v>
                </c:pt>
                <c:pt idx="16">
                  <c:v>297.5769409930507</c:v>
                </c:pt>
                <c:pt idx="17">
                  <c:v>301.37386369966845</c:v>
                </c:pt>
                <c:pt idx="18">
                  <c:v>303.22921896522132</c:v>
                </c:pt>
                <c:pt idx="19">
                  <c:v>303.3157172151752</c:v>
                </c:pt>
                <c:pt idx="20">
                  <c:v>301.80853447659291</c:v>
                </c:pt>
                <c:pt idx="21">
                  <c:v>298.88134997903296</c:v>
                </c:pt>
                <c:pt idx="22">
                  <c:v>294.70332410501811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CE-4249-955C-214C92DEC6DD}"/>
            </c:ext>
          </c:extLst>
        </c:ser>
        <c:ser>
          <c:idx val="3"/>
          <c:order val="3"/>
          <c:tx>
            <c:strRef>
              <c:f>'Multiexponential-eta'!$G$14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'Multiexponential-eta'!$G$15:$G$37</c:f>
              <c:numCache>
                <c:formatCode>0.00E+00</c:formatCode>
                <c:ptCount val="23"/>
                <c:pt idx="0">
                  <c:v>2.5505597756311046E-2</c:v>
                </c:pt>
                <c:pt idx="1">
                  <c:v>0.62000811288997315</c:v>
                </c:pt>
                <c:pt idx="2">
                  <c:v>2.5842928328416064</c:v>
                </c:pt>
                <c:pt idx="3">
                  <c:v>6.3844564975091656</c:v>
                </c:pt>
                <c:pt idx="4">
                  <c:v>12.216743126112922</c:v>
                </c:pt>
                <c:pt idx="5">
                  <c:v>20.081866304906029</c:v>
                </c:pt>
                <c:pt idx="6">
                  <c:v>29.843803707198347</c:v>
                </c:pt>
                <c:pt idx="7">
                  <c:v>41.27584729095809</c:v>
                </c:pt>
                <c:pt idx="8">
                  <c:v>54.096240714996767</c:v>
                </c:pt>
                <c:pt idx="9">
                  <c:v>67.995352033236401</c:v>
                </c:pt>
                <c:pt idx="10">
                  <c:v>82.656004833055988</c:v>
                </c:pt>
                <c:pt idx="11">
                  <c:v>97.768316201159791</c:v>
                </c:pt>
                <c:pt idx="12">
                  <c:v>113.04015792796827</c:v>
                </c:pt>
                <c:pt idx="13">
                  <c:v>128.20416191672206</c:v>
                </c:pt>
                <c:pt idx="14">
                  <c:v>143.02202644494955</c:v>
                </c:pt>
                <c:pt idx="15">
                  <c:v>157.28674209418324</c:v>
                </c:pt>
                <c:pt idx="16">
                  <c:v>170.82324083762396</c:v>
                </c:pt>
                <c:pt idx="17">
                  <c:v>183.4878755420321</c:v>
                </c:pt>
                <c:pt idx="18">
                  <c:v>195.16705707706723</c:v>
                </c:pt>
                <c:pt idx="19">
                  <c:v>205.7753098329645</c:v>
                </c:pt>
                <c:pt idx="20">
                  <c:v>215.25295159036713</c:v>
                </c:pt>
                <c:pt idx="21">
                  <c:v>223.56355854229594</c:v>
                </c:pt>
                <c:pt idx="22">
                  <c:v>230.69133928511448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CE-4249-955C-214C92DEC6DD}"/>
            </c:ext>
          </c:extLst>
        </c:ser>
        <c:ser>
          <c:idx val="4"/>
          <c:order val="4"/>
          <c:tx>
            <c:v>Total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7.0000000000000001E-3</c:v>
                </c:pt>
                <c:pt idx="4">
                  <c:v>9.0000000000000011E-3</c:v>
                </c:pt>
                <c:pt idx="5">
                  <c:v>1.1000000000000001E-2</c:v>
                </c:pt>
                <c:pt idx="6">
                  <c:v>1.3000000000000001E-2</c:v>
                </c:pt>
                <c:pt idx="7">
                  <c:v>1.5000000000000001E-2</c:v>
                </c:pt>
                <c:pt idx="8">
                  <c:v>1.7000000000000001E-2</c:v>
                </c:pt>
                <c:pt idx="9">
                  <c:v>1.9000000000000003E-2</c:v>
                </c:pt>
                <c:pt idx="10">
                  <c:v>2.1000000000000005E-2</c:v>
                </c:pt>
                <c:pt idx="11">
                  <c:v>2.3000000000000007E-2</c:v>
                </c:pt>
                <c:pt idx="12">
                  <c:v>2.5000000000000008E-2</c:v>
                </c:pt>
                <c:pt idx="13">
                  <c:v>2.700000000000001E-2</c:v>
                </c:pt>
                <c:pt idx="14">
                  <c:v>2.9000000000000012E-2</c:v>
                </c:pt>
                <c:pt idx="15">
                  <c:v>3.1000000000000014E-2</c:v>
                </c:pt>
                <c:pt idx="16">
                  <c:v>3.3000000000000015E-2</c:v>
                </c:pt>
                <c:pt idx="17">
                  <c:v>3.5000000000000017E-2</c:v>
                </c:pt>
                <c:pt idx="18">
                  <c:v>3.7000000000000019E-2</c:v>
                </c:pt>
                <c:pt idx="19">
                  <c:v>3.9000000000000021E-2</c:v>
                </c:pt>
                <c:pt idx="20">
                  <c:v>4.1000000000000023E-2</c:v>
                </c:pt>
                <c:pt idx="21">
                  <c:v>4.3000000000000024E-2</c:v>
                </c:pt>
                <c:pt idx="22">
                  <c:v>4.5000000000000026E-2</c:v>
                </c:pt>
              </c:numCache>
            </c:numRef>
          </c:xVal>
          <c:yVal>
            <c:numRef>
              <c:f>'Multiexponential-eta'!$H$15:$H$37</c:f>
              <c:numCache>
                <c:formatCode>0.00E+00</c:formatCode>
                <c:ptCount val="23"/>
                <c:pt idx="0">
                  <c:v>10560.147830780887</c:v>
                </c:pt>
                <c:pt idx="1">
                  <c:v>8208.9971507771534</c:v>
                </c:pt>
                <c:pt idx="2">
                  <c:v>6422.1704204474727</c:v>
                </c:pt>
                <c:pt idx="3">
                  <c:v>5065.9700761317199</c:v>
                </c:pt>
                <c:pt idx="4">
                  <c:v>4038.055655228527</c:v>
                </c:pt>
                <c:pt idx="5">
                  <c:v>3260.1077237601462</c:v>
                </c:pt>
                <c:pt idx="6">
                  <c:v>2672.2087014070457</c:v>
                </c:pt>
                <c:pt idx="7">
                  <c:v>2228.538513768648</c:v>
                </c:pt>
                <c:pt idx="8">
                  <c:v>1894.07718452987</c:v>
                </c:pt>
                <c:pt idx="9">
                  <c:v>1642.0786025929374</c:v>
                </c:pt>
                <c:pt idx="10">
                  <c:v>1452.1349272992647</c:v>
                </c:pt>
                <c:pt idx="11">
                  <c:v>1308.6933852568777</c:v>
                </c:pt>
                <c:pt idx="12">
                  <c:v>1199.9195952120058</c:v>
                </c:pt>
                <c:pt idx="13">
                  <c:v>1116.8263535123513</c:v>
                </c:pt>
                <c:pt idx="14">
                  <c:v>1052.6057992186716</c:v>
                </c:pt>
                <c:pt idx="15">
                  <c:v>1002.1174158373356</c:v>
                </c:pt>
                <c:pt idx="16">
                  <c:v>961.49545821715378</c:v>
                </c:pt>
                <c:pt idx="17">
                  <c:v>927.8479165043791</c:v>
                </c:pt>
                <c:pt idx="18">
                  <c:v>899.02565534764994</c:v>
                </c:pt>
                <c:pt idx="19">
                  <c:v>873.44536378066709</c:v>
                </c:pt>
                <c:pt idx="20">
                  <c:v>849.95377773018743</c:v>
                </c:pt>
                <c:pt idx="21">
                  <c:v>827.72356728146269</c:v>
                </c:pt>
                <c:pt idx="22">
                  <c:v>806.17352476633346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CE-4249-955C-214C92DEC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89856"/>
        <c:axId val="1515591936"/>
      </c:scatterChart>
      <c:valAx>
        <c:axId val="151558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47389739238962009"/>
              <c:y val="0.88919394306480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1936"/>
        <c:crossesAt val="1.0000000000000002E-3"/>
        <c:crossBetween val="midCat"/>
        <c:majorUnit val="1.0000000000000002E-2"/>
      </c:valAx>
      <c:valAx>
        <c:axId val="1515591936"/>
        <c:scaling>
          <c:logBase val="10"/>
          <c:orientation val="minMax"/>
          <c:min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-25000"/>
                  <a:t>att</a:t>
                </a:r>
                <a:r>
                  <a:rPr lang="en-US"/>
                  <a:t> (#/mL)</a:t>
                </a:r>
              </a:p>
            </c:rich>
          </c:tx>
          <c:layout>
            <c:manualLayout>
              <c:xMode val="edge"/>
              <c:yMode val="edge"/>
              <c:x val="0"/>
              <c:y val="0.21483965273571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756233946054529"/>
          <c:y val="6.5521283388977926E-3"/>
          <c:w val="0.22827682858910453"/>
          <c:h val="0.393277469365829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539750</xdr:colOff>
      <xdr:row>1</xdr:row>
      <xdr:rowOff>170764</xdr:rowOff>
    </xdr:from>
    <xdr:to>
      <xdr:col>6</xdr:col>
      <xdr:colOff>584200</xdr:colOff>
      <xdr:row>4</xdr:row>
      <xdr:rowOff>107949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54A4F-8499-496C-8EEF-5F9E03C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0650" y="354914"/>
          <a:ext cx="1930400" cy="489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279275</xdr:colOff>
      <xdr:row>3</xdr:row>
      <xdr:rowOff>75951</xdr:rowOff>
    </xdr:from>
    <xdr:to>
      <xdr:col>17</xdr:col>
      <xdr:colOff>228475</xdr:colOff>
      <xdr:row>7</xdr:row>
      <xdr:rowOff>75951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6EF86-B960-4E1F-8154-D782B13E2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89" y="636245"/>
          <a:ext cx="4412876" cy="74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207806</xdr:colOff>
      <xdr:row>10</xdr:row>
      <xdr:rowOff>155699</xdr:rowOff>
    </xdr:from>
    <xdr:to>
      <xdr:col>16</xdr:col>
      <xdr:colOff>528481</xdr:colOff>
      <xdr:row>25</xdr:row>
      <xdr:rowOff>165223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3FC266-3656-4028-AFA3-C4B9D9C7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124510</xdr:colOff>
      <xdr:row>27</xdr:row>
      <xdr:rowOff>130736</xdr:rowOff>
    </xdr:from>
    <xdr:to>
      <xdr:col>16</xdr:col>
      <xdr:colOff>445185</xdr:colOff>
      <xdr:row>42</xdr:row>
      <xdr:rowOff>140260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A3DC61-E140-4977-A232-07D240D2E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539750</xdr:colOff>
      <xdr:row>1</xdr:row>
      <xdr:rowOff>170764</xdr:rowOff>
    </xdr:from>
    <xdr:to>
      <xdr:col>6</xdr:col>
      <xdr:colOff>584200</xdr:colOff>
      <xdr:row>4</xdr:row>
      <xdr:rowOff>107949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BC3EC-F19D-4CD5-AE1E-776E4A5F2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0650" y="354914"/>
          <a:ext cx="1930400" cy="489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273050</xdr:colOff>
      <xdr:row>4</xdr:row>
      <xdr:rowOff>63500</xdr:rowOff>
    </xdr:from>
    <xdr:to>
      <xdr:col>14</xdr:col>
      <xdr:colOff>222250</xdr:colOff>
      <xdr:row>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0B6AFD-45E8-4176-8D48-AFECC4351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0" y="800100"/>
          <a:ext cx="441325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120649</xdr:colOff>
      <xdr:row>11</xdr:row>
      <xdr:rowOff>161924</xdr:rowOff>
    </xdr:from>
    <xdr:to>
      <xdr:col>13</xdr:col>
      <xdr:colOff>441324</xdr:colOff>
      <xdr:row>26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7341CF-E762-4E31-A0B7-A1E18B576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539750</xdr:colOff>
      <xdr:row>1</xdr:row>
      <xdr:rowOff>170764</xdr:rowOff>
    </xdr:from>
    <xdr:to>
      <xdr:col>6</xdr:col>
      <xdr:colOff>584200</xdr:colOff>
      <xdr:row>4</xdr:row>
      <xdr:rowOff>107949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E35DC-F66A-4482-8628-2F0BA4AA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0650" y="354914"/>
          <a:ext cx="1930400" cy="489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273050</xdr:colOff>
      <xdr:row>4</xdr:row>
      <xdr:rowOff>63500</xdr:rowOff>
    </xdr:from>
    <xdr:to>
      <xdr:col>14</xdr:col>
      <xdr:colOff>222250</xdr:colOff>
      <xdr:row>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106A3-5847-458D-BD29-FD2996826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0" y="800100"/>
          <a:ext cx="4413250" cy="73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120649</xdr:colOff>
      <xdr:row>14</xdr:row>
      <xdr:rowOff>161924</xdr:rowOff>
    </xdr:from>
    <xdr:to>
      <xdr:col>13</xdr:col>
      <xdr:colOff>441324</xdr:colOff>
      <xdr:row>29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626FE2-2535-418E-BAFA-8AB224F00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124510</xdr:colOff>
      <xdr:row>30</xdr:row>
      <xdr:rowOff>130736</xdr:rowOff>
    </xdr:from>
    <xdr:to>
      <xdr:col>13</xdr:col>
      <xdr:colOff>445185</xdr:colOff>
      <xdr:row>45</xdr:row>
      <xdr:rowOff>140260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CFE43B-94B0-45B3-942D-93E315536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50FB-4D64-4C03-BDF5-47ADCD27A76C}">
  <dimension ref="B6:P34"/>
  <sheetViews>
    <sheetView tabSelected="1" zoomScale="102" workbookViewId="0">
      <selection activeCell="J12" sqref="J12"/>
    </sheetView>
  </sheetViews>
  <sheetFormatPr defaultRowHeight="14.5" x14ac:dyDescent="0.35"/>
  <cols>
    <col min="3" max="3" width="12.90625" customWidth="1"/>
    <col min="5" max="5" width="9.54296875" customWidth="1"/>
    <col min="13" max="13" width="9.90625" customWidth="1"/>
    <col min="14" max="15" width="9.36328125" customWidth="1"/>
    <col min="16" max="16" width="9.08984375" customWidth="1"/>
  </cols>
  <sheetData>
    <row r="6" spans="2:11" x14ac:dyDescent="0.35">
      <c r="B6" s="2" t="s">
        <v>3</v>
      </c>
      <c r="C6" s="2" t="s">
        <v>6</v>
      </c>
      <c r="D6" s="2" t="s">
        <v>2</v>
      </c>
      <c r="E6" s="2" t="s">
        <v>7</v>
      </c>
      <c r="F6" s="2" t="s">
        <v>1</v>
      </c>
      <c r="G6" s="4" t="s">
        <v>4</v>
      </c>
      <c r="H6" s="4"/>
      <c r="I6" s="4"/>
      <c r="J6" s="4"/>
    </row>
    <row r="7" spans="2:11" x14ac:dyDescent="0.35">
      <c r="B7" s="3">
        <v>200000</v>
      </c>
      <c r="C7" s="3">
        <f>0.0005</f>
        <v>5.0000000000000001E-4</v>
      </c>
      <c r="D7" s="3">
        <v>0.35</v>
      </c>
      <c r="E7" s="3">
        <v>4</v>
      </c>
      <c r="F7" s="2">
        <v>0.05</v>
      </c>
      <c r="G7" s="5">
        <f>-(3*(1-D7)^(1/3)/(2*C7))*E7*LN(1-F7)</f>
        <v>533.1870892831123</v>
      </c>
      <c r="H7" s="5"/>
      <c r="I7" s="5"/>
      <c r="J7" s="5"/>
    </row>
    <row r="8" spans="2:11" x14ac:dyDescent="0.35">
      <c r="B8" s="3"/>
      <c r="C8" s="3"/>
      <c r="D8" s="3"/>
      <c r="E8" s="3"/>
      <c r="F8" s="2"/>
    </row>
    <row r="9" spans="2:11" x14ac:dyDescent="0.35">
      <c r="C9" s="14" t="s">
        <v>11</v>
      </c>
      <c r="D9" s="17" t="s">
        <v>5</v>
      </c>
      <c r="E9" s="17"/>
      <c r="F9" s="17"/>
      <c r="G9" s="17"/>
      <c r="H9" s="16"/>
      <c r="I9" s="16"/>
      <c r="J9" s="16"/>
    </row>
    <row r="10" spans="2:11" x14ac:dyDescent="0.35">
      <c r="C10" s="15">
        <v>2E-3</v>
      </c>
      <c r="D10" s="9">
        <v>0.06</v>
      </c>
      <c r="E10" s="9">
        <v>0.01</v>
      </c>
      <c r="F10" s="9">
        <v>0.01</v>
      </c>
      <c r="G10" s="9">
        <v>0.01</v>
      </c>
      <c r="H10" s="9">
        <v>0.01</v>
      </c>
      <c r="I10" s="9">
        <v>0.01</v>
      </c>
      <c r="J10" s="9">
        <v>0.01</v>
      </c>
      <c r="K10" s="10" t="s">
        <v>0</v>
      </c>
    </row>
    <row r="11" spans="2:11" x14ac:dyDescent="0.35">
      <c r="B11" s="2" t="s">
        <v>10</v>
      </c>
      <c r="C11" s="2" t="s">
        <v>8</v>
      </c>
      <c r="D11" s="11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3" t="s">
        <v>9</v>
      </c>
    </row>
    <row r="12" spans="2:11" x14ac:dyDescent="0.35">
      <c r="B12" s="3">
        <f t="shared" ref="B12:B34" si="0">(G$7/E$7)*C12</f>
        <v>0.13329677232077808</v>
      </c>
      <c r="C12" s="2">
        <v>1E-3</v>
      </c>
      <c r="D12" s="3">
        <f>$B$7*EXP(-$B12)*($B12^(D$11-1))/(FACT(D$11-1))*$D$10</f>
        <v>10502.463802207027</v>
      </c>
      <c r="E12" s="3">
        <f>$B$7*EXP(-$B12)*($B12^(E$11-1))/(FACT(E$11-1))*E$10*(1-$D$10)</f>
        <v>219.32464244583383</v>
      </c>
      <c r="F12" s="3">
        <f>$B$7*EXP(-$B12)*($B12^(F$11-1))/(FACT(F$11-1))*F$10*(1-$D$10)*(1-$E$10)</f>
        <v>14.471457129576994</v>
      </c>
      <c r="G12" s="3">
        <f>$B$7*EXP(-$B12)*($B12^(G$11-1))/(FACT(G$11-1))*G$10*(1-$D$10)*(1-$E$10)*(1-$F$10)</f>
        <v>0.63656951362987135</v>
      </c>
      <c r="H12" s="3">
        <f>$B$7*EXP(-$B12)*($B12^(H$11-1))/(FACT(H$11-1))*H$10*(1-$D$10)*(1-$E$10)*(1-$F$10)</f>
        <v>2.1213165381167354E-2</v>
      </c>
      <c r="I12" s="3">
        <f t="shared" ref="H12:J27" si="1">$B$7*EXP(-$B12)*($B12^(I$11-1))/(FACT(I$11-1))*I$10*(1-$D$10)*(1-$E$10)*(1-$F$10)</f>
        <v>5.6552929520329513E-4</v>
      </c>
      <c r="J12" s="3">
        <f t="shared" si="1"/>
        <v>1.2563871617240621E-5</v>
      </c>
      <c r="K12" s="1">
        <f>SUM(D12:J12)</f>
        <v>10736.918262554615</v>
      </c>
    </row>
    <row r="13" spans="2:11" x14ac:dyDescent="0.35">
      <c r="B13" s="3">
        <f t="shared" si="0"/>
        <v>0.39989031696233424</v>
      </c>
      <c r="C13" s="2">
        <f t="shared" ref="C13:C34" si="2">C12+C$10</f>
        <v>3.0000000000000001E-3</v>
      </c>
      <c r="D13" s="3">
        <f t="shared" ref="D13:D34" si="3">$B$7*EXP(-$B13)*($B13^(D$11-1))/(FACT(D$11-1))*$D$10</f>
        <v>8044.7228736809147</v>
      </c>
      <c r="E13" s="3">
        <f t="shared" ref="E13:E34" si="4">$B$7*EXP(-$B13)*($B13^(E$11-1))/(FACT(E$11-1))*E$10*(1-$D$10)</f>
        <v>503.99772884009616</v>
      </c>
      <c r="F13" s="3">
        <f t="shared" ref="F13:F34" si="5">$B$7*EXP(-$B13)*($B13^(F$11-1))/(FACT(F$11-1))*F$10*(1-$D$10)*(1-$E$10)</f>
        <v>99.764186709410509</v>
      </c>
      <c r="G13" s="3">
        <f t="shared" ref="G13:J34" si="6">$B$7*EXP(-$B13)*($B13^(G$11-1))/(FACT(G$11-1))*G$10*(1-$D$10)*(1-$E$10)*(1-$F$10)</f>
        <v>13.165261640756169</v>
      </c>
      <c r="H13" s="3">
        <f t="shared" si="6"/>
        <v>1.3161651626035111</v>
      </c>
      <c r="I13" s="3">
        <f t="shared" si="1"/>
        <v>0.10526434080966006</v>
      </c>
      <c r="J13" s="3">
        <f t="shared" si="1"/>
        <v>7.015698435201021E-3</v>
      </c>
      <c r="K13" s="1">
        <f t="shared" ref="K13:K34" si="7">SUM(D13:J13)</f>
        <v>8663.0784960730234</v>
      </c>
    </row>
    <row r="14" spans="2:11" x14ac:dyDescent="0.35">
      <c r="B14" s="3">
        <f t="shared" si="0"/>
        <v>0.66648386160389039</v>
      </c>
      <c r="C14" s="2">
        <f t="shared" si="2"/>
        <v>5.0000000000000001E-3</v>
      </c>
      <c r="D14" s="3">
        <f t="shared" si="3"/>
        <v>6162.1317943247677</v>
      </c>
      <c r="E14" s="3">
        <f t="shared" si="4"/>
        <v>643.42395172567672</v>
      </c>
      <c r="F14" s="3">
        <f t="shared" si="5"/>
        <v>212.27168159730928</v>
      </c>
      <c r="G14" s="3">
        <f t="shared" si="6"/>
        <v>46.686964519841638</v>
      </c>
      <c r="H14" s="3">
        <f t="shared" si="6"/>
        <v>7.7790270999369673</v>
      </c>
      <c r="I14" s="3">
        <f t="shared" si="1"/>
        <v>1.0369192042174606</v>
      </c>
      <c r="J14" s="3">
        <f t="shared" si="1"/>
        <v>0.11518165256634769</v>
      </c>
      <c r="K14" s="1">
        <f t="shared" si="7"/>
        <v>7073.4455201243145</v>
      </c>
    </row>
    <row r="15" spans="2:11" x14ac:dyDescent="0.35">
      <c r="B15" s="3">
        <f t="shared" si="0"/>
        <v>0.93307740624544655</v>
      </c>
      <c r="C15" s="2">
        <f t="shared" si="2"/>
        <v>7.0000000000000001E-3</v>
      </c>
      <c r="D15" s="3">
        <f t="shared" si="3"/>
        <v>4720.0964964072036</v>
      </c>
      <c r="E15" s="3">
        <f t="shared" si="4"/>
        <v>689.99374538835048</v>
      </c>
      <c r="F15" s="3">
        <f t="shared" si="5"/>
        <v>318.68969926490888</v>
      </c>
      <c r="G15" s="3">
        <f t="shared" si="6"/>
        <v>98.129512135790023</v>
      </c>
      <c r="H15" s="3">
        <f t="shared" si="6"/>
        <v>22.890607664948508</v>
      </c>
      <c r="I15" s="3">
        <f t="shared" si="1"/>
        <v>4.271741765478458</v>
      </c>
      <c r="J15" s="3">
        <f t="shared" si="1"/>
        <v>0.66431095444716415</v>
      </c>
      <c r="K15" s="1">
        <f t="shared" si="7"/>
        <v>5854.736113581127</v>
      </c>
    </row>
    <row r="16" spans="2:11" x14ac:dyDescent="0.35">
      <c r="B16" s="3">
        <f t="shared" si="0"/>
        <v>1.1996709508870027</v>
      </c>
      <c r="C16" s="2">
        <f t="shared" si="2"/>
        <v>9.0000000000000011E-3</v>
      </c>
      <c r="D16" s="3">
        <f t="shared" si="3"/>
        <v>3615.5200308949056</v>
      </c>
      <c r="E16" s="3">
        <f t="shared" si="4"/>
        <v>679.53138203496917</v>
      </c>
      <c r="F16" s="3">
        <f t="shared" si="5"/>
        <v>403.53095932550798</v>
      </c>
      <c r="G16" s="3">
        <f t="shared" si="6"/>
        <v>159.75444199650426</v>
      </c>
      <c r="H16" s="3">
        <f t="shared" si="6"/>
        <v>47.913190834592193</v>
      </c>
      <c r="I16" s="3">
        <f t="shared" si="1"/>
        <v>11.496012641713127</v>
      </c>
      <c r="J16" s="3">
        <f t="shared" si="1"/>
        <v>2.2985720695488312</v>
      </c>
      <c r="K16" s="1">
        <f t="shared" si="7"/>
        <v>4920.0445897977406</v>
      </c>
    </row>
    <row r="17" spans="2:16" x14ac:dyDescent="0.35">
      <c r="B17" s="3">
        <f t="shared" si="0"/>
        <v>1.4662644955285589</v>
      </c>
      <c r="C17" s="2">
        <f t="shared" si="2"/>
        <v>1.1000000000000001E-2</v>
      </c>
      <c r="D17" s="3">
        <f t="shared" si="3"/>
        <v>2769.4317486416435</v>
      </c>
      <c r="E17" s="3">
        <f t="shared" si="4"/>
        <v>636.1793798455742</v>
      </c>
      <c r="F17" s="3">
        <f t="shared" si="5"/>
        <v>461.73958254019652</v>
      </c>
      <c r="G17" s="3">
        <f t="shared" si="6"/>
        <v>223.42067749942663</v>
      </c>
      <c r="H17" s="3">
        <f t="shared" si="6"/>
        <v>81.898451746086394</v>
      </c>
      <c r="I17" s="3">
        <f t="shared" si="1"/>
        <v>24.016958406809074</v>
      </c>
      <c r="J17" s="3">
        <f t="shared" si="1"/>
        <v>5.8692022337483829</v>
      </c>
      <c r="K17" s="1">
        <f t="shared" si="7"/>
        <v>4202.5560009134842</v>
      </c>
    </row>
    <row r="18" spans="2:16" x14ac:dyDescent="0.35">
      <c r="B18" s="3">
        <f t="shared" si="0"/>
        <v>1.732858040170115</v>
      </c>
      <c r="C18" s="2">
        <f t="shared" si="2"/>
        <v>1.3000000000000001E-2</v>
      </c>
      <c r="D18" s="3">
        <f t="shared" si="3"/>
        <v>2121.3413685571286</v>
      </c>
      <c r="E18" s="3">
        <f t="shared" si="4"/>
        <v>575.90407327711898</v>
      </c>
      <c r="F18" s="3">
        <f t="shared" si="5"/>
        <v>493.99020185376253</v>
      </c>
      <c r="G18" s="3">
        <f t="shared" si="6"/>
        <v>282.48491470569161</v>
      </c>
      <c r="H18" s="3">
        <f t="shared" si="6"/>
        <v>122.37656391863175</v>
      </c>
      <c r="I18" s="3">
        <f t="shared" si="1"/>
        <v>42.412242542958595</v>
      </c>
      <c r="J18" s="3">
        <f t="shared" si="1"/>
        <v>12.249065915368471</v>
      </c>
      <c r="K18" s="1">
        <f t="shared" si="7"/>
        <v>3650.7584307706607</v>
      </c>
    </row>
    <row r="19" spans="2:16" x14ac:dyDescent="0.35">
      <c r="B19" s="3">
        <f t="shared" si="0"/>
        <v>1.9994515848116712</v>
      </c>
      <c r="C19" s="2">
        <f t="shared" si="2"/>
        <v>1.5000000000000001E-2</v>
      </c>
      <c r="D19" s="3">
        <f t="shared" si="3"/>
        <v>1624.9142822021322</v>
      </c>
      <c r="E19" s="3">
        <f t="shared" si="4"/>
        <v>509.00019842137357</v>
      </c>
      <c r="F19" s="3">
        <f t="shared" si="5"/>
        <v>503.77202043451996</v>
      </c>
      <c r="G19" s="3">
        <f t="shared" si="6"/>
        <v>332.39836233172093</v>
      </c>
      <c r="H19" s="3">
        <f t="shared" si="6"/>
        <v>166.15360808824087</v>
      </c>
      <c r="I19" s="3">
        <f t="shared" si="1"/>
        <v>66.443219002842085</v>
      </c>
      <c r="J19" s="3">
        <f t="shared" si="1"/>
        <v>22.141666589203602</v>
      </c>
      <c r="K19" s="1">
        <f t="shared" si="7"/>
        <v>3224.8233570700331</v>
      </c>
    </row>
    <row r="20" spans="2:16" x14ac:dyDescent="0.35">
      <c r="B20" s="3">
        <f t="shared" si="0"/>
        <v>2.2660451294532273</v>
      </c>
      <c r="C20" s="2">
        <f t="shared" si="2"/>
        <v>1.7000000000000001E-2</v>
      </c>
      <c r="D20" s="3">
        <f t="shared" si="3"/>
        <v>1244.6589048043472</v>
      </c>
      <c r="E20" s="3">
        <f t="shared" si="4"/>
        <v>441.8710090197884</v>
      </c>
      <c r="F20" s="3">
        <f t="shared" si="5"/>
        <v>495.64332567875789</v>
      </c>
      <c r="G20" s="3">
        <f t="shared" si="6"/>
        <v>370.63954755311522</v>
      </c>
      <c r="H20" s="3">
        <f t="shared" si="6"/>
        <v>209.97148537887114</v>
      </c>
      <c r="I20" s="3">
        <f t="shared" si="1"/>
        <v>95.160972353370099</v>
      </c>
      <c r="J20" s="3">
        <f t="shared" si="1"/>
        <v>35.939842985897933</v>
      </c>
      <c r="K20" s="1">
        <f t="shared" si="7"/>
        <v>2893.8850877741479</v>
      </c>
    </row>
    <row r="21" spans="2:16" x14ac:dyDescent="0.35">
      <c r="B21" s="3">
        <f t="shared" si="0"/>
        <v>2.5326386740947839</v>
      </c>
      <c r="C21" s="2">
        <f t="shared" si="2"/>
        <v>1.9000000000000003E-2</v>
      </c>
      <c r="D21" s="3">
        <f t="shared" si="3"/>
        <v>953.38923799061388</v>
      </c>
      <c r="E21" s="3">
        <f t="shared" si="4"/>
        <v>378.28583804412295</v>
      </c>
      <c r="F21" s="3">
        <f t="shared" si="5"/>
        <v>474.2403649299863</v>
      </c>
      <c r="G21" s="3">
        <f t="shared" si="6"/>
        <v>396.35623138270734</v>
      </c>
      <c r="H21" s="3">
        <f t="shared" si="6"/>
        <v>250.95678007957633</v>
      </c>
      <c r="I21" s="3">
        <f t="shared" si="1"/>
        <v>127.11656935116692</v>
      </c>
      <c r="J21" s="3">
        <f t="shared" si="1"/>
        <v>53.656723276169501</v>
      </c>
      <c r="K21" s="1">
        <f t="shared" si="7"/>
        <v>2634.0017450543432</v>
      </c>
    </row>
    <row r="22" spans="2:16" x14ac:dyDescent="0.35">
      <c r="B22" s="3">
        <f t="shared" si="0"/>
        <v>2.7992322187363401</v>
      </c>
      <c r="C22" s="2">
        <f t="shared" si="2"/>
        <v>2.1000000000000005E-2</v>
      </c>
      <c r="D22" s="3">
        <f t="shared" si="3"/>
        <v>730.28123255921696</v>
      </c>
      <c r="E22" s="3">
        <f t="shared" si="4"/>
        <v>320.26219160385858</v>
      </c>
      <c r="F22" s="3">
        <f t="shared" si="5"/>
        <v>443.76168136441271</v>
      </c>
      <c r="G22" s="3">
        <f t="shared" si="6"/>
        <v>409.92335865223845</v>
      </c>
      <c r="H22" s="3">
        <f t="shared" si="6"/>
        <v>286.86766818798947</v>
      </c>
      <c r="I22" s="3">
        <f t="shared" si="1"/>
        <v>160.60184386111717</v>
      </c>
      <c r="J22" s="3">
        <f t="shared" si="1"/>
        <v>74.926975954083716</v>
      </c>
      <c r="K22" s="1">
        <f t="shared" si="7"/>
        <v>2426.6249521829172</v>
      </c>
    </row>
    <row r="23" spans="2:16" x14ac:dyDescent="0.35">
      <c r="B23" s="3">
        <f t="shared" si="0"/>
        <v>3.0658257633778967</v>
      </c>
      <c r="C23" s="2">
        <f t="shared" si="2"/>
        <v>2.3000000000000007E-2</v>
      </c>
      <c r="D23" s="3">
        <f t="shared" si="3"/>
        <v>559.3839927879061</v>
      </c>
      <c r="E23" s="3">
        <f t="shared" si="4"/>
        <v>268.67923755128942</v>
      </c>
      <c r="F23" s="3">
        <f t="shared" si="5"/>
        <v>407.7432456418893</v>
      </c>
      <c r="G23" s="3">
        <f t="shared" si="6"/>
        <v>412.52301661963469</v>
      </c>
      <c r="H23" s="3">
        <f t="shared" si="6"/>
        <v>316.18092308471108</v>
      </c>
      <c r="I23" s="3">
        <f t="shared" si="1"/>
        <v>193.87112397634249</v>
      </c>
      <c r="J23" s="3">
        <f t="shared" si="1"/>
        <v>99.062514443616863</v>
      </c>
      <c r="K23" s="1">
        <f t="shared" si="7"/>
        <v>2257.44405410539</v>
      </c>
    </row>
    <row r="24" spans="2:16" x14ac:dyDescent="0.35">
      <c r="B24" s="3">
        <f t="shared" si="0"/>
        <v>3.3324193080194529</v>
      </c>
      <c r="C24" s="2">
        <f t="shared" si="2"/>
        <v>2.5000000000000008E-2</v>
      </c>
      <c r="D24" s="3">
        <f t="shared" si="3"/>
        <v>428.47938223849559</v>
      </c>
      <c r="E24" s="3">
        <f t="shared" si="4"/>
        <v>223.70009807870358</v>
      </c>
      <c r="F24" s="3">
        <f t="shared" si="5"/>
        <v>369.00395039144195</v>
      </c>
      <c r="G24" s="3">
        <f t="shared" si="6"/>
        <v>405.79304337656492</v>
      </c>
      <c r="H24" s="3">
        <f t="shared" si="6"/>
        <v>338.06814320201005</v>
      </c>
      <c r="I24" s="3">
        <f t="shared" si="1"/>
        <v>225.31696156653271</v>
      </c>
      <c r="J24" s="3">
        <f t="shared" si="1"/>
        <v>125.14176552476513</v>
      </c>
      <c r="K24" s="1">
        <f t="shared" si="7"/>
        <v>2115.5033443785142</v>
      </c>
    </row>
    <row r="25" spans="2:16" x14ac:dyDescent="0.35">
      <c r="B25" s="3">
        <f t="shared" si="0"/>
        <v>3.5990128526610095</v>
      </c>
      <c r="C25" s="2">
        <f t="shared" si="2"/>
        <v>2.700000000000001E-2</v>
      </c>
      <c r="D25" s="3">
        <f t="shared" si="3"/>
        <v>328.20849965417887</v>
      </c>
      <c r="E25" s="3">
        <f t="shared" si="4"/>
        <v>185.05883534858293</v>
      </c>
      <c r="F25" s="3">
        <f t="shared" si="5"/>
        <v>329.68441782442363</v>
      </c>
      <c r="G25" s="3">
        <f t="shared" si="6"/>
        <v>391.55769083381381</v>
      </c>
      <c r="H25" s="3">
        <f t="shared" si="6"/>
        <v>352.30529046729038</v>
      </c>
      <c r="I25" s="3">
        <f t="shared" si="1"/>
        <v>253.59025369044974</v>
      </c>
      <c r="J25" s="3">
        <f t="shared" si="1"/>
        <v>152.11243039024907</v>
      </c>
      <c r="K25" s="1">
        <f t="shared" si="7"/>
        <v>1992.5174182089886</v>
      </c>
    </row>
    <row r="26" spans="2:16" x14ac:dyDescent="0.35">
      <c r="B26" s="3">
        <f t="shared" si="0"/>
        <v>3.8656063973025656</v>
      </c>
      <c r="C26" s="2">
        <f t="shared" si="2"/>
        <v>2.9000000000000012E-2</v>
      </c>
      <c r="D26" s="3">
        <f t="shared" si="3"/>
        <v>251.40257317046073</v>
      </c>
      <c r="E26" s="3">
        <f t="shared" si="4"/>
        <v>152.25233190621597</v>
      </c>
      <c r="F26" s="3">
        <f t="shared" si="5"/>
        <v>291.33105616934648</v>
      </c>
      <c r="G26" s="3">
        <f t="shared" si="6"/>
        <v>371.63649417217584</v>
      </c>
      <c r="H26" s="3">
        <f t="shared" si="6"/>
        <v>359.15010233576521</v>
      </c>
      <c r="I26" s="3">
        <f t="shared" si="1"/>
        <v>277.66658663620092</v>
      </c>
      <c r="J26" s="3">
        <f t="shared" si="1"/>
        <v>178.89162226967755</v>
      </c>
      <c r="K26" s="1">
        <f t="shared" si="7"/>
        <v>1882.3307666598428</v>
      </c>
    </row>
    <row r="27" spans="2:16" x14ac:dyDescent="0.35">
      <c r="B27" s="3">
        <f t="shared" si="0"/>
        <v>4.1321999419441218</v>
      </c>
      <c r="C27" s="2">
        <f t="shared" si="2"/>
        <v>3.1000000000000014E-2</v>
      </c>
      <c r="D27" s="3">
        <f t="shared" si="3"/>
        <v>192.57043575447858</v>
      </c>
      <c r="E27" s="3">
        <f t="shared" si="4"/>
        <v>124.66586180635365</v>
      </c>
      <c r="F27" s="3">
        <f t="shared" si="5"/>
        <v>254.99641212472108</v>
      </c>
      <c r="G27" s="3">
        <f t="shared" si="6"/>
        <v>347.71973259465153</v>
      </c>
      <c r="H27" s="3">
        <f t="shared" si="6"/>
        <v>359.21186471011112</v>
      </c>
      <c r="I27" s="3">
        <f t="shared" si="1"/>
        <v>296.86704930015213</v>
      </c>
      <c r="J27" s="3">
        <f t="shared" si="1"/>
        <v>204.45233398053526</v>
      </c>
      <c r="K27" s="1">
        <f t="shared" si="7"/>
        <v>1780.4836902710033</v>
      </c>
    </row>
    <row r="28" spans="2:16" x14ac:dyDescent="0.35">
      <c r="B28" s="3">
        <f t="shared" si="0"/>
        <v>4.3987934865856788</v>
      </c>
      <c r="C28" s="2">
        <f t="shared" si="2"/>
        <v>3.3000000000000015E-2</v>
      </c>
      <c r="D28" s="3">
        <f t="shared" si="3"/>
        <v>147.50593941425475</v>
      </c>
      <c r="E28" s="3">
        <f t="shared" si="4"/>
        <v>101.652879266073</v>
      </c>
      <c r="F28" s="3">
        <f t="shared" si="5"/>
        <v>221.33926148809977</v>
      </c>
      <c r="G28" s="3">
        <f t="shared" si="6"/>
        <v>321.29648158064737</v>
      </c>
      <c r="H28" s="3">
        <f t="shared" si="6"/>
        <v>353.32921760996186</v>
      </c>
      <c r="I28" s="3">
        <f t="shared" si="6"/>
        <v>310.84445220862284</v>
      </c>
      <c r="J28" s="3">
        <f t="shared" si="6"/>
        <v>227.8900919527639</v>
      </c>
      <c r="K28" s="1">
        <f t="shared" si="7"/>
        <v>1683.8583235204235</v>
      </c>
    </row>
    <row r="29" spans="2:16" x14ac:dyDescent="0.35">
      <c r="B29" s="3">
        <f t="shared" si="0"/>
        <v>4.665387031227235</v>
      </c>
      <c r="C29" s="2">
        <f t="shared" si="2"/>
        <v>3.5000000000000017E-2</v>
      </c>
      <c r="D29" s="3">
        <f t="shared" si="3"/>
        <v>112.98724062826864</v>
      </c>
      <c r="E29" s="3">
        <f t="shared" si="4"/>
        <v>82.583575782333156</v>
      </c>
      <c r="F29" s="3">
        <f t="shared" si="5"/>
        <v>190.71575000639797</v>
      </c>
      <c r="G29" s="3">
        <f t="shared" si="6"/>
        <v>293.62171962110608</v>
      </c>
      <c r="H29" s="3">
        <f t="shared" si="6"/>
        <v>342.46474070173684</v>
      </c>
      <c r="I29" s="3">
        <f t="shared" si="6"/>
        <v>319.54611198449624</v>
      </c>
      <c r="J29" s="3">
        <f t="shared" si="6"/>
        <v>248.46771445525903</v>
      </c>
      <c r="K29" s="1">
        <f t="shared" si="7"/>
        <v>1590.3868531795981</v>
      </c>
    </row>
    <row r="30" spans="2:16" x14ac:dyDescent="0.35">
      <c r="B30" s="3">
        <f t="shared" si="0"/>
        <v>4.9319805758687911</v>
      </c>
      <c r="C30" s="2">
        <f t="shared" si="2"/>
        <v>3.7000000000000019E-2</v>
      </c>
      <c r="D30" s="3">
        <f t="shared" si="3"/>
        <v>86.546457691700098</v>
      </c>
      <c r="E30" s="3">
        <f t="shared" si="4"/>
        <v>66.872453558495351</v>
      </c>
      <c r="F30" s="3">
        <f t="shared" si="5"/>
        <v>163.25775279553753</v>
      </c>
      <c r="G30" s="3">
        <f t="shared" si="6"/>
        <v>265.71074166370136</v>
      </c>
      <c r="H30" s="3">
        <f t="shared" si="6"/>
        <v>327.62005417126642</v>
      </c>
      <c r="I30" s="3">
        <f t="shared" si="6"/>
        <v>323.16314868755342</v>
      </c>
      <c r="J30" s="3">
        <f t="shared" si="6"/>
        <v>265.63906202726849</v>
      </c>
      <c r="K30" s="1">
        <f t="shared" si="7"/>
        <v>1498.8096705955224</v>
      </c>
    </row>
    <row r="31" spans="2:16" x14ac:dyDescent="0.35">
      <c r="B31" s="3">
        <f t="shared" si="0"/>
        <v>5.1985741205103473</v>
      </c>
      <c r="C31" s="2">
        <f t="shared" si="2"/>
        <v>3.9000000000000021E-2</v>
      </c>
      <c r="D31" s="3">
        <f t="shared" si="3"/>
        <v>66.293231849289143</v>
      </c>
      <c r="E31" s="3">
        <f t="shared" si="4"/>
        <v>53.992077114884069</v>
      </c>
      <c r="F31" s="3">
        <f t="shared" si="5"/>
        <v>138.93749832700752</v>
      </c>
      <c r="G31" s="3">
        <f t="shared" si="6"/>
        <v>238.35137144650619</v>
      </c>
      <c r="H31" s="3">
        <f t="shared" si="6"/>
        <v>309.77181779748901</v>
      </c>
      <c r="I31" s="3">
        <f t="shared" si="6"/>
        <v>322.07435105309463</v>
      </c>
      <c r="J31" s="3">
        <f t="shared" si="6"/>
        <v>279.05456437746375</v>
      </c>
      <c r="K31" s="1">
        <f t="shared" si="7"/>
        <v>1408.4749119657342</v>
      </c>
    </row>
    <row r="32" spans="2:16" x14ac:dyDescent="0.35">
      <c r="B32" s="3">
        <f t="shared" si="0"/>
        <v>5.4651676651519043</v>
      </c>
      <c r="C32" s="2">
        <f t="shared" si="2"/>
        <v>4.1000000000000023E-2</v>
      </c>
      <c r="D32" s="3">
        <f t="shared" si="3"/>
        <v>50.77957788496601</v>
      </c>
      <c r="E32" s="3">
        <f t="shared" si="4"/>
        <v>43.477962113426706</v>
      </c>
      <c r="F32" s="3">
        <f t="shared" si="5"/>
        <v>117.61910458105457</v>
      </c>
      <c r="G32" s="3">
        <f t="shared" si="6"/>
        <v>212.12668196296491</v>
      </c>
      <c r="H32" s="3">
        <f t="shared" si="6"/>
        <v>289.82697079498939</v>
      </c>
      <c r="I32" s="3">
        <f t="shared" si="6"/>
        <v>316.79059785554028</v>
      </c>
      <c r="J32" s="3">
        <f t="shared" si="6"/>
        <v>288.55228867070645</v>
      </c>
      <c r="K32" s="1">
        <f t="shared" si="7"/>
        <v>1319.1731838636483</v>
      </c>
      <c r="L32" s="2"/>
      <c r="M32" s="2"/>
      <c r="N32" s="2"/>
      <c r="O32" s="2"/>
      <c r="P32" s="2"/>
    </row>
    <row r="33" spans="2:16" x14ac:dyDescent="0.35">
      <c r="B33" s="3">
        <f t="shared" si="0"/>
        <v>5.7317612097934605</v>
      </c>
      <c r="C33" s="2">
        <f t="shared" si="2"/>
        <v>4.3000000000000024E-2</v>
      </c>
      <c r="D33" s="3">
        <f t="shared" si="3"/>
        <v>38.896361789050125</v>
      </c>
      <c r="E33" s="3">
        <f t="shared" si="4"/>
        <v>34.927996373715985</v>
      </c>
      <c r="F33" s="3">
        <f t="shared" si="5"/>
        <v>99.098472701582594</v>
      </c>
      <c r="G33" s="3">
        <f t="shared" si="6"/>
        <v>187.44289798763339</v>
      </c>
      <c r="H33" s="3">
        <f t="shared" si="6"/>
        <v>268.5944829341974</v>
      </c>
      <c r="I33" s="3">
        <f t="shared" si="6"/>
        <v>307.90388768935281</v>
      </c>
      <c r="J33" s="3">
        <f t="shared" si="6"/>
        <v>294.13859330040577</v>
      </c>
      <c r="K33" s="1">
        <f t="shared" si="7"/>
        <v>1231.0026927759382</v>
      </c>
      <c r="L33" s="2"/>
      <c r="M33" s="2"/>
      <c r="N33" s="2"/>
      <c r="O33" s="2"/>
      <c r="P33" s="2"/>
    </row>
    <row r="34" spans="2:16" x14ac:dyDescent="0.35">
      <c r="B34" s="3">
        <f t="shared" si="0"/>
        <v>5.9983547544350166</v>
      </c>
      <c r="C34" s="2">
        <f t="shared" si="2"/>
        <v>4.5000000000000026E-2</v>
      </c>
      <c r="D34" s="3">
        <f t="shared" si="3"/>
        <v>29.794004271796076</v>
      </c>
      <c r="E34" s="3">
        <f t="shared" si="4"/>
        <v>27.998684457790343</v>
      </c>
      <c r="F34" s="3">
        <f t="shared" si="5"/>
        <v>83.133290807479696</v>
      </c>
      <c r="G34" s="3">
        <f t="shared" si="6"/>
        <v>164.5587801550686</v>
      </c>
      <c r="H34" s="3">
        <f t="shared" si="6"/>
        <v>246.7704853317957</v>
      </c>
      <c r="I34" s="3">
        <f t="shared" si="6"/>
        <v>296.04338278884268</v>
      </c>
      <c r="J34" s="3">
        <f t="shared" si="6"/>
        <v>295.96220544507992</v>
      </c>
      <c r="K34" s="1">
        <f t="shared" si="7"/>
        <v>1144.2608332578529</v>
      </c>
    </row>
  </sheetData>
  <mergeCells count="1">
    <mergeCell ref="D9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M34"/>
  <sheetViews>
    <sheetView workbookViewId="0">
      <selection activeCell="P25" sqref="P25"/>
    </sheetView>
  </sheetViews>
  <sheetFormatPr defaultRowHeight="14.5" x14ac:dyDescent="0.35"/>
  <cols>
    <col min="3" max="3" width="12.90625" customWidth="1"/>
    <col min="5" max="5" width="9.54296875" customWidth="1"/>
    <col min="10" max="10" width="9.90625" customWidth="1"/>
    <col min="11" max="12" width="9.36328125" customWidth="1"/>
    <col min="13" max="13" width="9.08984375" customWidth="1"/>
  </cols>
  <sheetData>
    <row r="6" spans="1:8" x14ac:dyDescent="0.35">
      <c r="B6" s="2" t="s">
        <v>3</v>
      </c>
      <c r="C6" s="2" t="s">
        <v>6</v>
      </c>
      <c r="D6" s="2" t="s">
        <v>2</v>
      </c>
      <c r="E6" s="2" t="s">
        <v>7</v>
      </c>
      <c r="F6" s="2" t="s">
        <v>1</v>
      </c>
      <c r="G6" s="4" t="s">
        <v>4</v>
      </c>
    </row>
    <row r="7" spans="1:8" x14ac:dyDescent="0.35">
      <c r="B7" s="3">
        <v>200000</v>
      </c>
      <c r="C7" s="3">
        <f>0.0005</f>
        <v>5.0000000000000001E-4</v>
      </c>
      <c r="D7" s="3">
        <v>0.35</v>
      </c>
      <c r="E7" s="3">
        <v>4</v>
      </c>
      <c r="F7" s="2">
        <v>0.05</v>
      </c>
      <c r="G7" s="5">
        <f>-(3*(1-D7)^(1/3)/(2*C7))*E7*LN(1-F7)</f>
        <v>533.1870892831123</v>
      </c>
    </row>
    <row r="8" spans="1:8" x14ac:dyDescent="0.35">
      <c r="B8" s="3"/>
      <c r="C8" s="3"/>
      <c r="D8" s="3"/>
      <c r="E8" s="3"/>
      <c r="F8" s="2"/>
    </row>
    <row r="9" spans="1:8" x14ac:dyDescent="0.35">
      <c r="B9" s="2" t="s">
        <v>10</v>
      </c>
      <c r="D9" s="17" t="s">
        <v>5</v>
      </c>
      <c r="E9" s="17"/>
      <c r="F9" s="17"/>
      <c r="G9" s="17"/>
    </row>
    <row r="10" spans="1:8" x14ac:dyDescent="0.35">
      <c r="D10" s="8">
        <v>0.01</v>
      </c>
      <c r="E10" s="9">
        <v>0.06</v>
      </c>
      <c r="F10" s="9">
        <v>0.06</v>
      </c>
      <c r="G10" s="9">
        <v>0.06</v>
      </c>
      <c r="H10" s="10" t="s">
        <v>0</v>
      </c>
    </row>
    <row r="11" spans="1:8" x14ac:dyDescent="0.35">
      <c r="A11" s="6" t="s">
        <v>11</v>
      </c>
      <c r="B11" s="7">
        <v>2E-3</v>
      </c>
      <c r="C11" s="2" t="s">
        <v>8</v>
      </c>
      <c r="D11" s="11">
        <v>1</v>
      </c>
      <c r="E11" s="12">
        <v>2</v>
      </c>
      <c r="F11" s="12">
        <v>3</v>
      </c>
      <c r="G11" s="12">
        <v>4</v>
      </c>
      <c r="H11" s="13" t="s">
        <v>9</v>
      </c>
    </row>
    <row r="12" spans="1:8" x14ac:dyDescent="0.35">
      <c r="B12" s="3">
        <f t="shared" ref="B12:B34" si="0">(G$7/E$7)*C12</f>
        <v>0.13329677232077808</v>
      </c>
      <c r="C12" s="2">
        <v>1E-3</v>
      </c>
      <c r="D12" s="3">
        <f>$B$7*EXP(-$B12)*($B12^(D$11-1))/(FACT(D$11-1))*$D$10</f>
        <v>1750.410633701171</v>
      </c>
      <c r="E12" s="3">
        <f>$B$7*EXP(-$B12)*($B12^(E$11-1))/(FACT(E$11-1))*E$10*(1-$D$10)</f>
        <v>1385.9450809875029</v>
      </c>
      <c r="F12" s="3">
        <f>$B$7*EXP(-$B12)*($B12^(F$11-1))/(FACT(F$11-1))*F$10*(1-$D$10)*(1-$E$10)</f>
        <v>86.828742777461954</v>
      </c>
      <c r="G12" s="3">
        <f>$B$7*EXP(-$B12)*($B12^(G$11-1))/(FACT(G$11-1))*G$10*(1-$D$10)*(1-$E$10)*(1-$F$10)</f>
        <v>3.6265172291641159</v>
      </c>
      <c r="H12" s="1">
        <f>SUM(D12:G12)</f>
        <v>3226.8109746953005</v>
      </c>
    </row>
    <row r="13" spans="1:8" x14ac:dyDescent="0.35">
      <c r="B13" s="3">
        <f t="shared" si="0"/>
        <v>0.39989031696233424</v>
      </c>
      <c r="C13" s="2">
        <f t="shared" ref="C13:C34" si="1">C12+B$11</f>
        <v>3.0000000000000001E-3</v>
      </c>
      <c r="D13" s="3">
        <f t="shared" ref="D13:D34" si="2">$B$7*EXP(-$B13)*($B13^(D$11-1))/(FACT(D$11-1))*$D$10</f>
        <v>1340.7871456134858</v>
      </c>
      <c r="E13" s="3">
        <f t="shared" ref="E13:E34" si="3">$B$7*EXP(-$B13)*($B13^(E$11-1))/(FACT(E$11-1))*E$10*(1-$D$10)</f>
        <v>3184.8367120320968</v>
      </c>
      <c r="F13" s="3">
        <f t="shared" ref="F13:F34" si="4">$B$7*EXP(-$B13)*($B13^(F$11-1))/(FACT(F$11-1))*F$10*(1-$D$10)*(1-$E$10)</f>
        <v>598.58512025646303</v>
      </c>
      <c r="G13" s="3">
        <f t="shared" ref="G13:G34" si="5">$B$7*EXP(-$B13)*($B13^(G$11-1))/(FACT(G$11-1))*G$10*(1-$D$10)*(1-$E$10)*(1-$F$10)</f>
        <v>75.00209662006543</v>
      </c>
      <c r="H13" s="1">
        <f t="shared" ref="H13:H34" si="6">SUM(D13:G13)</f>
        <v>5199.2110745221107</v>
      </c>
    </row>
    <row r="14" spans="1:8" x14ac:dyDescent="0.35">
      <c r="B14" s="3">
        <f t="shared" si="0"/>
        <v>0.66648386160389039</v>
      </c>
      <c r="C14" s="2">
        <f t="shared" si="1"/>
        <v>5.0000000000000001E-3</v>
      </c>
      <c r="D14" s="3">
        <f t="shared" si="2"/>
        <v>1027.0219657207947</v>
      </c>
      <c r="E14" s="3">
        <f t="shared" si="3"/>
        <v>4065.8917800537447</v>
      </c>
      <c r="F14" s="3">
        <f t="shared" si="4"/>
        <v>1273.6300895838556</v>
      </c>
      <c r="G14" s="3">
        <f t="shared" si="5"/>
        <v>265.97422211303723</v>
      </c>
      <c r="H14" s="1">
        <f t="shared" si="6"/>
        <v>6632.5180574714323</v>
      </c>
    </row>
    <row r="15" spans="1:8" x14ac:dyDescent="0.35">
      <c r="B15" s="3">
        <f t="shared" si="0"/>
        <v>0.93307740624544655</v>
      </c>
      <c r="C15" s="2">
        <f t="shared" si="1"/>
        <v>7.0000000000000001E-3</v>
      </c>
      <c r="D15" s="3">
        <f t="shared" si="2"/>
        <v>786.68274940120068</v>
      </c>
      <c r="E15" s="3">
        <f t="shared" si="3"/>
        <v>4360.1732421348952</v>
      </c>
      <c r="F15" s="3">
        <f t="shared" si="4"/>
        <v>1912.1381955894528</v>
      </c>
      <c r="G15" s="3">
        <f t="shared" si="5"/>
        <v>559.04085701601582</v>
      </c>
      <c r="H15" s="1">
        <f t="shared" si="6"/>
        <v>7618.0350441415649</v>
      </c>
    </row>
    <row r="16" spans="1:8" x14ac:dyDescent="0.35">
      <c r="B16" s="3">
        <f t="shared" si="0"/>
        <v>1.1996709508870027</v>
      </c>
      <c r="C16" s="2">
        <f t="shared" si="1"/>
        <v>9.0000000000000011E-3</v>
      </c>
      <c r="D16" s="3">
        <f t="shared" si="2"/>
        <v>602.58667181581757</v>
      </c>
      <c r="E16" s="3">
        <f t="shared" si="3"/>
        <v>4294.0600098805508</v>
      </c>
      <c r="F16" s="3">
        <f t="shared" si="4"/>
        <v>2421.1857559530476</v>
      </c>
      <c r="G16" s="3">
        <f t="shared" si="5"/>
        <v>910.11621501038792</v>
      </c>
      <c r="H16" s="1">
        <f t="shared" si="6"/>
        <v>8227.9486526598048</v>
      </c>
    </row>
    <row r="17" spans="2:13" x14ac:dyDescent="0.35">
      <c r="B17" s="3">
        <f t="shared" si="0"/>
        <v>1.4662644955285589</v>
      </c>
      <c r="C17" s="2">
        <f t="shared" si="1"/>
        <v>1.1000000000000001E-2</v>
      </c>
      <c r="D17" s="3">
        <f t="shared" si="2"/>
        <v>461.5719581069406</v>
      </c>
      <c r="E17" s="3">
        <f t="shared" si="3"/>
        <v>4020.1122513645855</v>
      </c>
      <c r="F17" s="3">
        <f t="shared" si="4"/>
        <v>2770.4374952411786</v>
      </c>
      <c r="G17" s="3">
        <f t="shared" si="5"/>
        <v>1272.8208293906725</v>
      </c>
      <c r="H17" s="1">
        <f t="shared" si="6"/>
        <v>8524.9425341033766</v>
      </c>
    </row>
    <row r="18" spans="2:13" x14ac:dyDescent="0.35">
      <c r="B18" s="3">
        <f t="shared" si="0"/>
        <v>1.732858040170115</v>
      </c>
      <c r="C18" s="2">
        <f t="shared" si="1"/>
        <v>1.3000000000000001E-2</v>
      </c>
      <c r="D18" s="3">
        <f t="shared" si="2"/>
        <v>353.55689475952147</v>
      </c>
      <c r="E18" s="3">
        <f t="shared" si="3"/>
        <v>3639.2236119851987</v>
      </c>
      <c r="F18" s="3">
        <f t="shared" si="4"/>
        <v>2963.9412111225747</v>
      </c>
      <c r="G18" s="3">
        <f t="shared" si="5"/>
        <v>1609.3079989293947</v>
      </c>
      <c r="H18" s="1">
        <f t="shared" si="6"/>
        <v>8566.0297167966892</v>
      </c>
    </row>
    <row r="19" spans="2:13" x14ac:dyDescent="0.35">
      <c r="B19" s="3">
        <f t="shared" si="0"/>
        <v>1.9994515848116712</v>
      </c>
      <c r="C19" s="2">
        <f t="shared" si="1"/>
        <v>1.5000000000000001E-2</v>
      </c>
      <c r="D19" s="3">
        <f t="shared" si="2"/>
        <v>270.81904703368872</v>
      </c>
      <c r="E19" s="3">
        <f t="shared" si="3"/>
        <v>3216.4480623648501</v>
      </c>
      <c r="F19" s="3">
        <f t="shared" si="4"/>
        <v>3022.63212260712</v>
      </c>
      <c r="G19" s="3">
        <f t="shared" si="5"/>
        <v>1893.6633975261675</v>
      </c>
      <c r="H19" s="1">
        <f t="shared" si="6"/>
        <v>8403.5626295318252</v>
      </c>
    </row>
    <row r="20" spans="2:13" x14ac:dyDescent="0.35">
      <c r="B20" s="3">
        <f t="shared" si="0"/>
        <v>2.2660451294532273</v>
      </c>
      <c r="C20" s="2">
        <f t="shared" si="1"/>
        <v>1.7000000000000001E-2</v>
      </c>
      <c r="D20" s="3">
        <f t="shared" si="2"/>
        <v>207.44315080072454</v>
      </c>
      <c r="E20" s="3">
        <f t="shared" si="3"/>
        <v>2792.2487165718544</v>
      </c>
      <c r="F20" s="3">
        <f t="shared" si="4"/>
        <v>2973.8599540725472</v>
      </c>
      <c r="G20" s="3">
        <f t="shared" si="5"/>
        <v>2111.5222709086561</v>
      </c>
      <c r="H20" s="1">
        <f t="shared" si="6"/>
        <v>8085.0740923537815</v>
      </c>
    </row>
    <row r="21" spans="2:13" x14ac:dyDescent="0.35">
      <c r="B21" s="3">
        <f t="shared" si="0"/>
        <v>2.5326386740947839</v>
      </c>
      <c r="C21" s="2">
        <f t="shared" si="1"/>
        <v>1.9000000000000003E-2</v>
      </c>
      <c r="D21" s="3">
        <f t="shared" si="2"/>
        <v>158.89820633176899</v>
      </c>
      <c r="E21" s="3">
        <f t="shared" si="3"/>
        <v>2390.4445510447772</v>
      </c>
      <c r="F21" s="3">
        <f t="shared" si="4"/>
        <v>2845.4421895799178</v>
      </c>
      <c r="G21" s="3">
        <f t="shared" si="5"/>
        <v>2258.0294393923928</v>
      </c>
      <c r="H21" s="1">
        <f t="shared" si="6"/>
        <v>7652.8143863488567</v>
      </c>
    </row>
    <row r="22" spans="2:13" x14ac:dyDescent="0.35">
      <c r="B22" s="3">
        <f t="shared" si="0"/>
        <v>2.7992322187363401</v>
      </c>
      <c r="C22" s="2">
        <f t="shared" si="1"/>
        <v>2.1000000000000005E-2</v>
      </c>
      <c r="D22" s="3">
        <f t="shared" si="2"/>
        <v>121.71353875986949</v>
      </c>
      <c r="E22" s="3">
        <f t="shared" si="3"/>
        <v>2023.7844873690635</v>
      </c>
      <c r="F22" s="3">
        <f t="shared" si="4"/>
        <v>2662.5700881864768</v>
      </c>
      <c r="G22" s="3">
        <f t="shared" si="5"/>
        <v>2335.3209523218429</v>
      </c>
      <c r="H22" s="1">
        <f t="shared" si="6"/>
        <v>7143.3890666372527</v>
      </c>
    </row>
    <row r="23" spans="2:13" x14ac:dyDescent="0.35">
      <c r="B23" s="3">
        <f t="shared" si="0"/>
        <v>3.0658257633778967</v>
      </c>
      <c r="C23" s="2">
        <f t="shared" si="1"/>
        <v>2.3000000000000007E-2</v>
      </c>
      <c r="D23" s="3">
        <f t="shared" si="2"/>
        <v>93.230665464651025</v>
      </c>
      <c r="E23" s="3">
        <f t="shared" si="3"/>
        <v>1697.8241181432545</v>
      </c>
      <c r="F23" s="3">
        <f t="shared" si="4"/>
        <v>2446.4594738513356</v>
      </c>
      <c r="G23" s="3">
        <f t="shared" si="5"/>
        <v>2350.1311249845853</v>
      </c>
      <c r="H23" s="1">
        <f t="shared" si="6"/>
        <v>6587.6453824438267</v>
      </c>
    </row>
    <row r="24" spans="2:13" x14ac:dyDescent="0.35">
      <c r="B24" s="3">
        <f t="shared" si="0"/>
        <v>3.3324193080194529</v>
      </c>
      <c r="C24" s="2">
        <f t="shared" si="1"/>
        <v>2.5000000000000008E-2</v>
      </c>
      <c r="D24" s="3">
        <f t="shared" si="2"/>
        <v>71.413230373082598</v>
      </c>
      <c r="E24" s="3">
        <f t="shared" si="3"/>
        <v>1413.5942367952118</v>
      </c>
      <c r="F24" s="3">
        <f t="shared" si="4"/>
        <v>2214.0237023486516</v>
      </c>
      <c r="G24" s="3">
        <f t="shared" si="5"/>
        <v>2311.7906713573998</v>
      </c>
      <c r="H24" s="1">
        <f t="shared" si="6"/>
        <v>6010.8218408743451</v>
      </c>
    </row>
    <row r="25" spans="2:13" x14ac:dyDescent="0.35">
      <c r="B25" s="3">
        <f t="shared" si="0"/>
        <v>3.5990128526610095</v>
      </c>
      <c r="C25" s="2">
        <f t="shared" si="1"/>
        <v>2.700000000000001E-2</v>
      </c>
      <c r="D25" s="3">
        <f t="shared" si="2"/>
        <v>54.701416609029813</v>
      </c>
      <c r="E25" s="3">
        <f t="shared" si="3"/>
        <v>1169.4143425218965</v>
      </c>
      <c r="F25" s="3">
        <f t="shared" si="4"/>
        <v>1978.1065069465419</v>
      </c>
      <c r="G25" s="3">
        <f t="shared" si="5"/>
        <v>2230.6922992956665</v>
      </c>
      <c r="H25" s="1">
        <f t="shared" si="6"/>
        <v>5432.9145653731348</v>
      </c>
    </row>
    <row r="26" spans="2:13" x14ac:dyDescent="0.35">
      <c r="B26" s="3">
        <f t="shared" si="0"/>
        <v>3.8656063973025656</v>
      </c>
      <c r="C26" s="2">
        <f t="shared" si="1"/>
        <v>2.9000000000000012E-2</v>
      </c>
      <c r="D26" s="3">
        <f t="shared" si="2"/>
        <v>41.900428861743457</v>
      </c>
      <c r="E26" s="3">
        <f t="shared" si="3"/>
        <v>962.10516119459885</v>
      </c>
      <c r="F26" s="3">
        <f t="shared" si="4"/>
        <v>1747.9863370160786</v>
      </c>
      <c r="G26" s="3">
        <f t="shared" si="5"/>
        <v>2117.2018455869406</v>
      </c>
      <c r="H26" s="1">
        <f t="shared" si="6"/>
        <v>4869.1937726593615</v>
      </c>
    </row>
    <row r="27" spans="2:13" x14ac:dyDescent="0.35">
      <c r="B27" s="3">
        <f t="shared" si="0"/>
        <v>4.1321999419441218</v>
      </c>
      <c r="C27" s="2">
        <f t="shared" si="1"/>
        <v>3.1000000000000014E-2</v>
      </c>
      <c r="D27" s="3">
        <f t="shared" si="2"/>
        <v>32.095072625746432</v>
      </c>
      <c r="E27" s="3">
        <f t="shared" si="3"/>
        <v>787.78214801036245</v>
      </c>
      <c r="F27" s="3">
        <f t="shared" si="4"/>
        <v>1529.9784727483263</v>
      </c>
      <c r="G27" s="3">
        <f t="shared" si="5"/>
        <v>1980.9487796301357</v>
      </c>
      <c r="H27" s="1">
        <f t="shared" si="6"/>
        <v>4330.8044730145712</v>
      </c>
    </row>
    <row r="28" spans="2:13" x14ac:dyDescent="0.35">
      <c r="B28" s="3">
        <f t="shared" si="0"/>
        <v>4.3987934865856788</v>
      </c>
      <c r="C28" s="2">
        <f t="shared" si="1"/>
        <v>3.3000000000000015E-2</v>
      </c>
      <c r="D28" s="3">
        <f t="shared" si="2"/>
        <v>24.584323235709125</v>
      </c>
      <c r="E28" s="3">
        <f t="shared" si="3"/>
        <v>642.35968387284436</v>
      </c>
      <c r="F28" s="3">
        <f t="shared" si="4"/>
        <v>1328.0355689285984</v>
      </c>
      <c r="G28" s="3">
        <f t="shared" si="5"/>
        <v>1830.4163193079305</v>
      </c>
      <c r="H28" s="1">
        <f t="shared" si="6"/>
        <v>3825.3958953450824</v>
      </c>
    </row>
    <row r="29" spans="2:13" x14ac:dyDescent="0.35">
      <c r="B29" s="3">
        <f t="shared" si="0"/>
        <v>4.665387031227235</v>
      </c>
      <c r="C29" s="2">
        <f t="shared" si="1"/>
        <v>3.5000000000000017E-2</v>
      </c>
      <c r="D29" s="3">
        <f t="shared" si="2"/>
        <v>18.831206771378106</v>
      </c>
      <c r="E29" s="3">
        <f t="shared" si="3"/>
        <v>521.85791505006273</v>
      </c>
      <c r="F29" s="3">
        <f t="shared" si="4"/>
        <v>1144.2945000383877</v>
      </c>
      <c r="G29" s="3">
        <f t="shared" si="5"/>
        <v>1672.7540390535739</v>
      </c>
      <c r="H29" s="1">
        <f t="shared" si="6"/>
        <v>3357.7376609134026</v>
      </c>
    </row>
    <row r="30" spans="2:13" x14ac:dyDescent="0.35">
      <c r="B30" s="3">
        <f t="shared" si="0"/>
        <v>4.9319805758687911</v>
      </c>
      <c r="C30" s="2">
        <f t="shared" si="1"/>
        <v>3.7000000000000019E-2</v>
      </c>
      <c r="D30" s="3">
        <f t="shared" si="2"/>
        <v>14.42440961528335</v>
      </c>
      <c r="E30" s="3">
        <f t="shared" si="3"/>
        <v>422.57699376325786</v>
      </c>
      <c r="F30" s="3">
        <f t="shared" si="4"/>
        <v>979.54651677322488</v>
      </c>
      <c r="G30" s="3">
        <f t="shared" si="5"/>
        <v>1513.74604341745</v>
      </c>
      <c r="H30" s="1">
        <f t="shared" si="6"/>
        <v>2930.293963569216</v>
      </c>
    </row>
    <row r="31" spans="2:13" x14ac:dyDescent="0.35">
      <c r="B31" s="3">
        <f t="shared" si="0"/>
        <v>5.1985741205103473</v>
      </c>
      <c r="C31" s="2">
        <f t="shared" si="1"/>
        <v>3.9000000000000021E-2</v>
      </c>
      <c r="D31" s="3">
        <f t="shared" si="2"/>
        <v>11.048871974881525</v>
      </c>
      <c r="E31" s="3">
        <f t="shared" si="3"/>
        <v>341.18397666213974</v>
      </c>
      <c r="F31" s="3">
        <f t="shared" si="4"/>
        <v>833.62498996204488</v>
      </c>
      <c r="G31" s="3">
        <f t="shared" si="5"/>
        <v>1357.8805403619135</v>
      </c>
      <c r="H31" s="1">
        <f t="shared" si="6"/>
        <v>2543.7383789609794</v>
      </c>
    </row>
    <row r="32" spans="2:13" x14ac:dyDescent="0.35">
      <c r="B32" s="3">
        <f t="shared" si="0"/>
        <v>5.4651676651519043</v>
      </c>
      <c r="C32" s="2">
        <f t="shared" si="1"/>
        <v>4.1000000000000023E-2</v>
      </c>
      <c r="D32" s="3">
        <f t="shared" si="2"/>
        <v>8.4632629808276683</v>
      </c>
      <c r="E32" s="3">
        <f t="shared" si="3"/>
        <v>274.74371803590913</v>
      </c>
      <c r="F32" s="3">
        <f t="shared" si="4"/>
        <v>705.71462748632746</v>
      </c>
      <c r="G32" s="3">
        <f t="shared" si="5"/>
        <v>1208.4792790617394</v>
      </c>
      <c r="H32" s="1">
        <f t="shared" si="6"/>
        <v>2197.4008875648037</v>
      </c>
      <c r="I32" s="2"/>
      <c r="J32" s="2"/>
      <c r="K32" s="2"/>
      <c r="L32" s="2"/>
      <c r="M32" s="2"/>
    </row>
    <row r="33" spans="2:13" x14ac:dyDescent="0.35">
      <c r="B33" s="3">
        <f t="shared" si="0"/>
        <v>5.7317612097934605</v>
      </c>
      <c r="C33" s="2">
        <f t="shared" si="1"/>
        <v>4.3000000000000024E-2</v>
      </c>
      <c r="D33" s="3">
        <f t="shared" si="2"/>
        <v>6.4827269648416888</v>
      </c>
      <c r="E33" s="3">
        <f t="shared" si="3"/>
        <v>220.71521112752438</v>
      </c>
      <c r="F33" s="3">
        <f t="shared" si="4"/>
        <v>594.59083620949548</v>
      </c>
      <c r="G33" s="3">
        <f t="shared" si="5"/>
        <v>1067.8565097477294</v>
      </c>
      <c r="H33" s="1">
        <f t="shared" si="6"/>
        <v>1889.6452840495911</v>
      </c>
      <c r="I33" s="2"/>
      <c r="J33" s="2"/>
      <c r="K33" s="2"/>
      <c r="L33" s="2"/>
      <c r="M33" s="2"/>
    </row>
    <row r="34" spans="2:13" x14ac:dyDescent="0.35">
      <c r="B34" s="3">
        <f t="shared" si="0"/>
        <v>5.9983547544350166</v>
      </c>
      <c r="C34" s="2">
        <f t="shared" si="1"/>
        <v>4.5000000000000026E-2</v>
      </c>
      <c r="D34" s="3">
        <f t="shared" si="2"/>
        <v>4.9656673786326797</v>
      </c>
      <c r="E34" s="3">
        <f t="shared" si="3"/>
        <v>176.92785710561134</v>
      </c>
      <c r="F34" s="3">
        <f t="shared" si="4"/>
        <v>498.79974484487821</v>
      </c>
      <c r="G34" s="3">
        <f t="shared" si="5"/>
        <v>937.48638391372424</v>
      </c>
      <c r="H34" s="1">
        <f t="shared" si="6"/>
        <v>1618.1796532428466</v>
      </c>
    </row>
  </sheetData>
  <mergeCells count="1">
    <mergeCell ref="D9:G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EADB-FEDA-4B1E-B9AC-DABE126940C6}">
  <dimension ref="B6:M37"/>
  <sheetViews>
    <sheetView topLeftCell="A7" zoomScale="102" workbookViewId="0">
      <selection activeCell="D10" sqref="D10"/>
    </sheetView>
  </sheetViews>
  <sheetFormatPr defaultRowHeight="14.5" x14ac:dyDescent="0.35"/>
  <cols>
    <col min="3" max="3" width="12.90625" customWidth="1"/>
    <col min="5" max="5" width="9.54296875" customWidth="1"/>
    <col min="10" max="10" width="9.90625" customWidth="1"/>
    <col min="11" max="12" width="9.36328125" customWidth="1"/>
    <col min="13" max="13" width="9.08984375" customWidth="1"/>
  </cols>
  <sheetData>
    <row r="6" spans="2:9" x14ac:dyDescent="0.35">
      <c r="B6" s="2" t="s">
        <v>3</v>
      </c>
      <c r="C6" s="2" t="s">
        <v>6</v>
      </c>
      <c r="D6" s="2" t="s">
        <v>2</v>
      </c>
      <c r="E6" s="2" t="s">
        <v>7</v>
      </c>
      <c r="F6" s="2"/>
      <c r="G6" s="2"/>
    </row>
    <row r="7" spans="2:9" x14ac:dyDescent="0.35">
      <c r="B7" s="3">
        <v>200000</v>
      </c>
      <c r="C7" s="3">
        <f>0.0005</f>
        <v>5.0000000000000001E-4</v>
      </c>
      <c r="D7" s="3">
        <v>0.35</v>
      </c>
      <c r="E7" s="3">
        <v>4</v>
      </c>
      <c r="F7" s="2"/>
    </row>
    <row r="8" spans="2:9" x14ac:dyDescent="0.35">
      <c r="B8" s="3"/>
      <c r="C8" s="3"/>
      <c r="D8" s="3"/>
      <c r="E8" s="3"/>
      <c r="F8" s="2"/>
    </row>
    <row r="9" spans="2:9" x14ac:dyDescent="0.35">
      <c r="C9" s="14" t="s">
        <v>11</v>
      </c>
      <c r="D9" s="17" t="s">
        <v>5</v>
      </c>
      <c r="E9" s="17"/>
      <c r="F9" s="17"/>
      <c r="G9" s="17"/>
    </row>
    <row r="10" spans="2:9" x14ac:dyDescent="0.35">
      <c r="C10" s="15">
        <v>2E-3</v>
      </c>
      <c r="D10" s="9">
        <v>0.06</v>
      </c>
      <c r="E10" s="9">
        <v>6.0000000000000001E-3</v>
      </c>
      <c r="F10" s="9">
        <v>6.0000000000000001E-3</v>
      </c>
      <c r="G10" s="9">
        <v>6.0000000000000001E-3</v>
      </c>
      <c r="H10" s="10" t="s">
        <v>0</v>
      </c>
    </row>
    <row r="11" spans="2:9" x14ac:dyDescent="0.35">
      <c r="C11" s="2"/>
      <c r="D11" s="9">
        <v>0.05</v>
      </c>
      <c r="E11" s="9">
        <v>0.02</v>
      </c>
      <c r="F11" s="9">
        <v>0.02</v>
      </c>
      <c r="G11" s="9">
        <v>0.02</v>
      </c>
      <c r="H11" s="10" t="s">
        <v>1</v>
      </c>
      <c r="I11" t="s">
        <v>14</v>
      </c>
    </row>
    <row r="12" spans="2:9" x14ac:dyDescent="0.35">
      <c r="C12" s="2"/>
      <c r="D12" s="5">
        <f>-(3*(1-$D7)^(1/3)/(2*$C7))*$E7*LN(1-D11)</f>
        <v>533.1870892831123</v>
      </c>
      <c r="E12" s="5">
        <f t="shared" ref="E12:G12" si="0">-(3*(1-$D7)^(1/3)/(2*$C7))*$E7*LN(1-E11)</f>
        <v>210.00450134630603</v>
      </c>
      <c r="F12" s="5">
        <f t="shared" si="0"/>
        <v>210.00450134630603</v>
      </c>
      <c r="G12" s="5">
        <f t="shared" si="0"/>
        <v>210.00450134630603</v>
      </c>
      <c r="H12" s="10" t="s">
        <v>12</v>
      </c>
    </row>
    <row r="13" spans="2:9" x14ac:dyDescent="0.35">
      <c r="C13" s="2"/>
      <c r="D13" s="5">
        <f>D$12/$E$7</f>
        <v>133.29677232077808</v>
      </c>
      <c r="E13" s="5">
        <f t="shared" ref="E13:G13" si="1">E$12/$E$7</f>
        <v>52.501125336576507</v>
      </c>
      <c r="F13" s="5">
        <f t="shared" si="1"/>
        <v>52.501125336576507</v>
      </c>
      <c r="G13" s="5">
        <f t="shared" si="1"/>
        <v>52.501125336576507</v>
      </c>
      <c r="H13" s="2" t="s">
        <v>13</v>
      </c>
    </row>
    <row r="14" spans="2:9" x14ac:dyDescent="0.35">
      <c r="C14" s="2" t="s">
        <v>8</v>
      </c>
      <c r="D14" s="11">
        <v>1</v>
      </c>
      <c r="E14" s="12">
        <v>2</v>
      </c>
      <c r="F14" s="12">
        <v>3</v>
      </c>
      <c r="G14" s="12">
        <v>4</v>
      </c>
      <c r="H14" s="13" t="s">
        <v>9</v>
      </c>
    </row>
    <row r="15" spans="2:9" x14ac:dyDescent="0.35">
      <c r="B15" s="3">
        <f t="shared" ref="B15:B37" si="2">(D$12/E$7)*C15</f>
        <v>0.13329677232077808</v>
      </c>
      <c r="C15" s="2">
        <v>1E-3</v>
      </c>
      <c r="D15" s="3">
        <f>$B$7*EXP(-D$13*$C15)*((D$13*$C15)^(D$14-1))/(FACT(D$14-1))*$D$10</f>
        <v>10502.463802207027</v>
      </c>
      <c r="E15" s="3">
        <f>$B$7*EXP(-E$13*$C15)*((E$13*$C15)^(E$14-1))/(FACT(E$14-1))*E$10*(1-$D$10)</f>
        <v>56.192294114018928</v>
      </c>
      <c r="F15" s="3">
        <f>$B$7*EXP(-F$13*$C15)*((F$13*$C15)^(F$14-1))/(FACT(F$14-1))*F$10*(1-$D$10)*(1-$E$10)</f>
        <v>1.4662288620862489</v>
      </c>
      <c r="G15" s="3">
        <f>$B$7*EXP(-G$13*$C15)*((G$13*$C15)^(G$14-1))/(FACT(G$14-1))*G$10*(1-$D$10)*(1-$E$10)*(1-$F$10)</f>
        <v>2.5505597756311046E-2</v>
      </c>
      <c r="H15" s="1">
        <f>SUM(D15:G15)</f>
        <v>10560.147830780887</v>
      </c>
    </row>
    <row r="16" spans="2:9" x14ac:dyDescent="0.35">
      <c r="B16" s="3">
        <f t="shared" si="2"/>
        <v>0.39989031696233424</v>
      </c>
      <c r="C16" s="2">
        <f t="shared" ref="C16:C37" si="3">C15+C$10</f>
        <v>3.0000000000000001E-3</v>
      </c>
      <c r="D16" s="3">
        <f t="shared" ref="D16:D37" si="4">$B$7*EXP(-D$13*$C16)*((D$13*$C16)^(D$14-1))/(FACT(D$14-1))*$D$10</f>
        <v>8044.7228736809147</v>
      </c>
      <c r="E16" s="3">
        <f t="shared" ref="E16:E37" si="5">$B$7*EXP(-E$13*$C16)*((E$13*$C16)^(E$14-1))/(FACT(E$14-1))*E$10*(1-$D$10)</f>
        <v>151.77355952063317</v>
      </c>
      <c r="F16" s="3">
        <f t="shared" ref="F16:F37" si="6">$B$7*EXP(-F$13*$C16)*((F$13*$C16)^(F$14-1))/(FACT(F$14-1))*F$10*(1-$D$10)*(1-$E$10)</f>
        <v>11.880709462716133</v>
      </c>
      <c r="G16" s="3">
        <f t="shared" ref="G16:G37" si="7">$B$7*EXP(-G$13*$C16)*((G$13*$C16)^(G$14-1))/(FACT(G$14-1))*G$10*(1-$D$10)*(1-$E$10)*(1-$F$10)</f>
        <v>0.62000811288997315</v>
      </c>
      <c r="H16" s="1">
        <f t="shared" ref="H16:H37" si="8">SUM(D16:G16)</f>
        <v>8208.9971507771534</v>
      </c>
    </row>
    <row r="17" spans="2:8" x14ac:dyDescent="0.35">
      <c r="B17" s="3">
        <f t="shared" si="2"/>
        <v>0.66648386160389039</v>
      </c>
      <c r="C17" s="2">
        <f t="shared" si="3"/>
        <v>5.0000000000000001E-3</v>
      </c>
      <c r="D17" s="3">
        <f t="shared" si="4"/>
        <v>6162.1317943247677</v>
      </c>
      <c r="E17" s="3">
        <f t="shared" si="5"/>
        <v>227.74191662119264</v>
      </c>
      <c r="F17" s="3">
        <f t="shared" si="6"/>
        <v>29.712416668669658</v>
      </c>
      <c r="G17" s="3">
        <f t="shared" si="7"/>
        <v>2.5842928328416064</v>
      </c>
      <c r="H17" s="1">
        <f t="shared" si="8"/>
        <v>6422.1704204474727</v>
      </c>
    </row>
    <row r="18" spans="2:8" x14ac:dyDescent="0.35">
      <c r="B18" s="3">
        <f t="shared" si="2"/>
        <v>0.93307740624544655</v>
      </c>
      <c r="C18" s="2">
        <f t="shared" si="3"/>
        <v>7.0000000000000001E-3</v>
      </c>
      <c r="D18" s="3">
        <f t="shared" si="4"/>
        <v>4720.0964964072036</v>
      </c>
      <c r="E18" s="3">
        <f t="shared" si="5"/>
        <v>287.05763922314998</v>
      </c>
      <c r="F18" s="3">
        <f t="shared" si="6"/>
        <v>52.431484003858046</v>
      </c>
      <c r="G18" s="3">
        <f t="shared" si="7"/>
        <v>6.3844564975091656</v>
      </c>
      <c r="H18" s="1">
        <f t="shared" si="8"/>
        <v>5065.9700761317199</v>
      </c>
    </row>
    <row r="19" spans="2:8" x14ac:dyDescent="0.35">
      <c r="B19" s="3">
        <f t="shared" si="2"/>
        <v>1.1996709508870027</v>
      </c>
      <c r="C19" s="2">
        <f t="shared" si="3"/>
        <v>9.0000000000000011E-3</v>
      </c>
      <c r="D19" s="3">
        <f t="shared" si="4"/>
        <v>3615.5200308949056</v>
      </c>
      <c r="E19" s="3">
        <f t="shared" si="5"/>
        <v>332.28572183187759</v>
      </c>
      <c r="F19" s="3">
        <f t="shared" si="6"/>
        <v>78.03315937563076</v>
      </c>
      <c r="G19" s="3">
        <f t="shared" si="7"/>
        <v>12.216743126112922</v>
      </c>
      <c r="H19" s="1">
        <f t="shared" si="8"/>
        <v>4038.055655228527</v>
      </c>
    </row>
    <row r="20" spans="2:8" x14ac:dyDescent="0.35">
      <c r="B20" s="3">
        <f t="shared" si="2"/>
        <v>1.4662644955285589</v>
      </c>
      <c r="C20" s="2">
        <f t="shared" si="3"/>
        <v>1.1000000000000001E-2</v>
      </c>
      <c r="D20" s="3">
        <f t="shared" si="4"/>
        <v>2769.4317486416435</v>
      </c>
      <c r="E20" s="3">
        <f t="shared" si="5"/>
        <v>365.64526844838417</v>
      </c>
      <c r="F20" s="3">
        <f t="shared" si="6"/>
        <v>104.94884036521265</v>
      </c>
      <c r="G20" s="3">
        <f t="shared" si="7"/>
        <v>20.081866304906029</v>
      </c>
      <c r="H20" s="1">
        <f t="shared" si="8"/>
        <v>3260.1077237601462</v>
      </c>
    </row>
    <row r="21" spans="2:8" x14ac:dyDescent="0.35">
      <c r="B21" s="3">
        <f t="shared" si="2"/>
        <v>1.732858040170115</v>
      </c>
      <c r="C21" s="2">
        <f t="shared" si="3"/>
        <v>1.3000000000000001E-2</v>
      </c>
      <c r="D21" s="3">
        <f t="shared" si="4"/>
        <v>2121.3413685571286</v>
      </c>
      <c r="E21" s="3">
        <f t="shared" si="5"/>
        <v>389.05296280180517</v>
      </c>
      <c r="F21" s="3">
        <f t="shared" si="6"/>
        <v>131.97056634091376</v>
      </c>
      <c r="G21" s="3">
        <f t="shared" si="7"/>
        <v>29.843803707198347</v>
      </c>
      <c r="H21" s="1">
        <f t="shared" si="8"/>
        <v>2672.2087014070457</v>
      </c>
    </row>
    <row r="22" spans="2:8" x14ac:dyDescent="0.35">
      <c r="B22" s="3">
        <f t="shared" si="2"/>
        <v>1.9994515848116712</v>
      </c>
      <c r="C22" s="2">
        <f t="shared" si="3"/>
        <v>1.5000000000000001E-2</v>
      </c>
      <c r="D22" s="3">
        <f t="shared" si="4"/>
        <v>1624.9142822021322</v>
      </c>
      <c r="E22" s="3">
        <f t="shared" si="5"/>
        <v>404.16130920470749</v>
      </c>
      <c r="F22" s="3">
        <f t="shared" si="6"/>
        <v>158.1870750708502</v>
      </c>
      <c r="G22" s="3">
        <f t="shared" si="7"/>
        <v>41.27584729095809</v>
      </c>
      <c r="H22" s="1">
        <f t="shared" si="8"/>
        <v>2228.538513768648</v>
      </c>
    </row>
    <row r="23" spans="2:8" x14ac:dyDescent="0.35">
      <c r="B23" s="3">
        <f t="shared" si="2"/>
        <v>2.2660451294532273</v>
      </c>
      <c r="C23" s="2">
        <f t="shared" si="3"/>
        <v>1.7000000000000001E-2</v>
      </c>
      <c r="D23" s="3">
        <f t="shared" si="4"/>
        <v>1244.6589048043472</v>
      </c>
      <c r="E23" s="3">
        <f t="shared" si="5"/>
        <v>412.39225463069039</v>
      </c>
      <c r="F23" s="3">
        <f t="shared" si="6"/>
        <v>182.9297843798355</v>
      </c>
      <c r="G23" s="3">
        <f t="shared" si="7"/>
        <v>54.096240714996767</v>
      </c>
      <c r="H23" s="1">
        <f t="shared" si="8"/>
        <v>1894.07718452987</v>
      </c>
    </row>
    <row r="24" spans="2:8" x14ac:dyDescent="0.35">
      <c r="B24" s="3">
        <f t="shared" si="2"/>
        <v>2.5326386740947839</v>
      </c>
      <c r="C24" s="2">
        <f t="shared" si="3"/>
        <v>1.9000000000000003E-2</v>
      </c>
      <c r="D24" s="3">
        <f t="shared" si="4"/>
        <v>953.38923799061388</v>
      </c>
      <c r="E24" s="3">
        <f t="shared" si="5"/>
        <v>414.9667328447199</v>
      </c>
      <c r="F24" s="3">
        <f t="shared" si="6"/>
        <v>205.72727972436721</v>
      </c>
      <c r="G24" s="3">
        <f t="shared" si="7"/>
        <v>67.995352033236401</v>
      </c>
      <c r="H24" s="1">
        <f t="shared" si="8"/>
        <v>1642.0786025929374</v>
      </c>
    </row>
    <row r="25" spans="2:8" x14ac:dyDescent="0.35">
      <c r="B25" s="3">
        <f t="shared" si="2"/>
        <v>2.7992322187363401</v>
      </c>
      <c r="C25" s="2">
        <f t="shared" si="3"/>
        <v>2.1000000000000005E-2</v>
      </c>
      <c r="D25" s="3">
        <f t="shared" si="4"/>
        <v>730.28123255921696</v>
      </c>
      <c r="E25" s="3">
        <f t="shared" si="5"/>
        <v>412.93060948973317</v>
      </c>
      <c r="F25" s="3">
        <f t="shared" si="6"/>
        <v>226.26708041725871</v>
      </c>
      <c r="G25" s="3">
        <f t="shared" si="7"/>
        <v>82.656004833055988</v>
      </c>
      <c r="H25" s="1">
        <f t="shared" si="8"/>
        <v>1452.1349272992647</v>
      </c>
    </row>
    <row r="26" spans="2:8" x14ac:dyDescent="0.35">
      <c r="B26" s="3">
        <f t="shared" si="2"/>
        <v>3.0658257633778967</v>
      </c>
      <c r="C26" s="2">
        <f t="shared" si="3"/>
        <v>2.3000000000000007E-2</v>
      </c>
      <c r="D26" s="3">
        <f t="shared" si="4"/>
        <v>559.3839927879061</v>
      </c>
      <c r="E26" s="3">
        <f t="shared" si="5"/>
        <v>407.1774520780989</v>
      </c>
      <c r="F26" s="3">
        <f t="shared" si="6"/>
        <v>244.36362418971294</v>
      </c>
      <c r="G26" s="3">
        <f t="shared" si="7"/>
        <v>97.768316201159791</v>
      </c>
      <c r="H26" s="1">
        <f t="shared" si="8"/>
        <v>1308.6933852568777</v>
      </c>
    </row>
    <row r="27" spans="2:8" x14ac:dyDescent="0.35">
      <c r="B27" s="3">
        <f t="shared" si="2"/>
        <v>3.3324193080194529</v>
      </c>
      <c r="C27" s="2">
        <f t="shared" si="3"/>
        <v>2.5000000000000008E-2</v>
      </c>
      <c r="D27" s="3">
        <f t="shared" si="4"/>
        <v>428.47938223849559</v>
      </c>
      <c r="E27" s="3">
        <f t="shared" si="5"/>
        <v>398.46850007892493</v>
      </c>
      <c r="F27" s="3">
        <f t="shared" si="6"/>
        <v>259.931554966617</v>
      </c>
      <c r="G27" s="3">
        <f t="shared" si="7"/>
        <v>113.04015792796827</v>
      </c>
      <c r="H27" s="1">
        <f t="shared" si="8"/>
        <v>1199.9195952120058</v>
      </c>
    </row>
    <row r="28" spans="2:8" x14ac:dyDescent="0.35">
      <c r="B28" s="3">
        <f t="shared" si="2"/>
        <v>3.5990128526610095</v>
      </c>
      <c r="C28" s="2">
        <f t="shared" si="3"/>
        <v>2.700000000000001E-2</v>
      </c>
      <c r="D28" s="3">
        <f t="shared" si="4"/>
        <v>328.20849965417887</v>
      </c>
      <c r="E28" s="3">
        <f t="shared" si="5"/>
        <v>387.45016704249088</v>
      </c>
      <c r="F28" s="3">
        <f t="shared" si="6"/>
        <v>272.96352489895929</v>
      </c>
      <c r="G28" s="3">
        <f t="shared" si="7"/>
        <v>128.20416191672206</v>
      </c>
      <c r="H28" s="1">
        <f t="shared" si="8"/>
        <v>1116.8263535123513</v>
      </c>
    </row>
    <row r="29" spans="2:8" x14ac:dyDescent="0.35">
      <c r="B29" s="3">
        <f t="shared" si="2"/>
        <v>3.8656063973025656</v>
      </c>
      <c r="C29" s="2">
        <f t="shared" si="3"/>
        <v>2.9000000000000012E-2</v>
      </c>
      <c r="D29" s="3">
        <f t="shared" si="4"/>
        <v>251.40257317046073</v>
      </c>
      <c r="E29" s="3">
        <f t="shared" si="5"/>
        <v>374.66936834766926</v>
      </c>
      <c r="F29" s="3">
        <f t="shared" si="6"/>
        <v>283.51183125559203</v>
      </c>
      <c r="G29" s="3">
        <f t="shared" si="7"/>
        <v>143.02202644494955</v>
      </c>
      <c r="H29" s="1">
        <f t="shared" si="8"/>
        <v>1052.6057992186716</v>
      </c>
    </row>
    <row r="30" spans="2:8" x14ac:dyDescent="0.35">
      <c r="B30" s="3">
        <f t="shared" si="2"/>
        <v>4.1321999419441218</v>
      </c>
      <c r="C30" s="2">
        <f t="shared" si="3"/>
        <v>3.1000000000000014E-2</v>
      </c>
      <c r="D30" s="3">
        <f t="shared" si="4"/>
        <v>192.57043575447858</v>
      </c>
      <c r="E30" s="3">
        <f t="shared" si="5"/>
        <v>360.58693415108928</v>
      </c>
      <c r="F30" s="3">
        <f t="shared" si="6"/>
        <v>291.67330383758457</v>
      </c>
      <c r="G30" s="3">
        <f t="shared" si="7"/>
        <v>157.28674209418324</v>
      </c>
      <c r="H30" s="1">
        <f t="shared" si="8"/>
        <v>1002.1174158373356</v>
      </c>
    </row>
    <row r="31" spans="2:8" x14ac:dyDescent="0.35">
      <c r="B31" s="3">
        <f t="shared" si="2"/>
        <v>4.3987934865856788</v>
      </c>
      <c r="C31" s="2">
        <f t="shared" si="3"/>
        <v>3.3000000000000015E-2</v>
      </c>
      <c r="D31" s="3">
        <f t="shared" si="4"/>
        <v>147.50593941425475</v>
      </c>
      <c r="E31" s="3">
        <f t="shared" si="5"/>
        <v>345.58933697222432</v>
      </c>
      <c r="F31" s="3">
        <f t="shared" si="6"/>
        <v>297.5769409930507</v>
      </c>
      <c r="G31" s="3">
        <f t="shared" si="7"/>
        <v>170.82324083762396</v>
      </c>
      <c r="H31" s="1">
        <f t="shared" si="8"/>
        <v>961.49545821715378</v>
      </c>
    </row>
    <row r="32" spans="2:8" x14ac:dyDescent="0.35">
      <c r="B32" s="3">
        <f t="shared" si="2"/>
        <v>4.665387031227235</v>
      </c>
      <c r="C32" s="2">
        <f t="shared" si="3"/>
        <v>3.5000000000000017E-2</v>
      </c>
      <c r="D32" s="3">
        <f t="shared" si="4"/>
        <v>112.98724062826864</v>
      </c>
      <c r="E32" s="3">
        <f t="shared" si="5"/>
        <v>329.99893663440997</v>
      </c>
      <c r="F32" s="3">
        <f t="shared" si="6"/>
        <v>301.37386369966845</v>
      </c>
      <c r="G32" s="3">
        <f t="shared" si="7"/>
        <v>183.4878755420321</v>
      </c>
      <c r="H32" s="1">
        <f t="shared" si="8"/>
        <v>927.8479165043791</v>
      </c>
    </row>
    <row r="33" spans="2:13" x14ac:dyDescent="0.35">
      <c r="B33" s="3">
        <f t="shared" si="2"/>
        <v>4.9319805758687911</v>
      </c>
      <c r="C33" s="2">
        <f t="shared" si="3"/>
        <v>3.7000000000000019E-2</v>
      </c>
      <c r="D33" s="3">
        <f t="shared" si="4"/>
        <v>86.546457691700098</v>
      </c>
      <c r="E33" s="3">
        <f t="shared" si="5"/>
        <v>314.0829216136612</v>
      </c>
      <c r="F33" s="3">
        <f t="shared" si="6"/>
        <v>303.22921896522132</v>
      </c>
      <c r="G33" s="3">
        <f t="shared" si="7"/>
        <v>195.16705707706723</v>
      </c>
      <c r="H33" s="1">
        <f t="shared" si="8"/>
        <v>899.02565534764994</v>
      </c>
    </row>
    <row r="34" spans="2:13" x14ac:dyDescent="0.35">
      <c r="B34" s="3">
        <f t="shared" si="2"/>
        <v>5.1985741205103473</v>
      </c>
      <c r="C34" s="2">
        <f t="shared" si="3"/>
        <v>3.9000000000000021E-2</v>
      </c>
      <c r="D34" s="3">
        <f t="shared" si="4"/>
        <v>66.293231849289143</v>
      </c>
      <c r="E34" s="3">
        <f t="shared" si="5"/>
        <v>298.06110488323833</v>
      </c>
      <c r="F34" s="3">
        <f t="shared" si="6"/>
        <v>303.3157172151752</v>
      </c>
      <c r="G34" s="3">
        <f t="shared" si="7"/>
        <v>205.7753098329645</v>
      </c>
      <c r="H34" s="1">
        <f t="shared" si="8"/>
        <v>873.44536378066709</v>
      </c>
    </row>
    <row r="35" spans="2:13" x14ac:dyDescent="0.35">
      <c r="B35" s="3">
        <f t="shared" si="2"/>
        <v>5.4651676651519043</v>
      </c>
      <c r="C35" s="2">
        <f t="shared" si="3"/>
        <v>4.1000000000000023E-2</v>
      </c>
      <c r="D35" s="3">
        <f t="shared" si="4"/>
        <v>50.77957788496601</v>
      </c>
      <c r="E35" s="3">
        <f t="shared" si="5"/>
        <v>282.11271377826142</v>
      </c>
      <c r="F35" s="3">
        <f t="shared" si="6"/>
        <v>301.80853447659291</v>
      </c>
      <c r="G35" s="3">
        <f t="shared" si="7"/>
        <v>215.25295159036713</v>
      </c>
      <c r="H35" s="1">
        <f t="shared" si="8"/>
        <v>849.95377773018743</v>
      </c>
      <c r="I35" s="2"/>
      <c r="J35" s="2"/>
      <c r="K35" s="2"/>
      <c r="L35" s="2"/>
      <c r="M35" s="2"/>
    </row>
    <row r="36" spans="2:13" x14ac:dyDescent="0.35">
      <c r="B36" s="3">
        <f t="shared" si="2"/>
        <v>5.7317612097934605</v>
      </c>
      <c r="C36" s="2">
        <f t="shared" si="3"/>
        <v>4.3000000000000024E-2</v>
      </c>
      <c r="D36" s="3">
        <f t="shared" si="4"/>
        <v>38.896361789050125</v>
      </c>
      <c r="E36" s="3">
        <f t="shared" si="5"/>
        <v>266.38229697108369</v>
      </c>
      <c r="F36" s="3">
        <f t="shared" si="6"/>
        <v>298.88134997903296</v>
      </c>
      <c r="G36" s="3">
        <f t="shared" si="7"/>
        <v>223.56355854229594</v>
      </c>
      <c r="H36" s="1">
        <f t="shared" si="8"/>
        <v>827.72356728146269</v>
      </c>
      <c r="I36" s="2"/>
      <c r="J36" s="2"/>
      <c r="K36" s="2"/>
      <c r="L36" s="2"/>
      <c r="M36" s="2"/>
    </row>
    <row r="37" spans="2:13" x14ac:dyDescent="0.35">
      <c r="B37" s="3">
        <f t="shared" si="2"/>
        <v>5.9983547544350166</v>
      </c>
      <c r="C37" s="2">
        <f t="shared" si="3"/>
        <v>4.5000000000000026E-2</v>
      </c>
      <c r="D37" s="3">
        <f t="shared" si="4"/>
        <v>29.794004271796076</v>
      </c>
      <c r="E37" s="3">
        <f t="shared" si="5"/>
        <v>250.98485710440474</v>
      </c>
      <c r="F37" s="3">
        <f t="shared" si="6"/>
        <v>294.70332410501811</v>
      </c>
      <c r="G37" s="3">
        <f t="shared" si="7"/>
        <v>230.69133928511448</v>
      </c>
      <c r="H37" s="1">
        <f t="shared" si="8"/>
        <v>806.17352476633346</v>
      </c>
    </row>
  </sheetData>
  <mergeCells count="1">
    <mergeCell ref="D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Multiexponential</vt:lpstr>
      <vt:lpstr>Nonmonotonic</vt:lpstr>
      <vt:lpstr>Multiexponential-eta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bashar al Zghoul</cp:lastModifiedBy>
  <dcterms:created xsi:type="dcterms:W3CDTF">2015-06-05T18:17:20Z</dcterms:created>
  <dcterms:modified xsi:type="dcterms:W3CDTF">2025-10-09T23:12:49Z</dcterms:modified>
</cp:coreProperties>
</file>